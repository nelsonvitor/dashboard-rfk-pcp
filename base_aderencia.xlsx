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aildo.junior\Downloads\"/>
    </mc:Choice>
  </mc:AlternateContent>
  <xr:revisionPtr revIDLastSave="0" documentId="13_ncr:1_{AC0BB87E-05CA-4847-A3AA-1C6DFCD3DF78}" xr6:coauthVersionLast="47" xr6:coauthVersionMax="47" xr10:uidLastSave="{00000000-0000-0000-0000-000000000000}"/>
  <bookViews>
    <workbookView xWindow="-120" yWindow="-120" windowWidth="20730" windowHeight="11310" xr2:uid="{1FFFF52A-B561-44C2-A8B4-7ED8AA0F7B64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85" i="1" l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4" i="1"/>
  <c r="A85" i="1"/>
  <c r="A86" i="1"/>
  <c r="A87" i="1"/>
  <c r="A88" i="1"/>
  <c r="A89" i="1"/>
  <c r="A83" i="1"/>
  <c r="A82" i="1"/>
  <c r="A81" i="1"/>
  <c r="A80" i="1"/>
  <c r="A79" i="1"/>
  <c r="A78" i="1"/>
  <c r="A77" i="1"/>
  <c r="A76" i="1"/>
  <c r="A60" i="1" l="1"/>
  <c r="A61" i="1"/>
  <c r="A59" i="1"/>
  <c r="A58" i="1"/>
  <c r="A39" i="1"/>
  <c r="A38" i="1"/>
  <c r="A36" i="1"/>
  <c r="A41" i="1"/>
  <c r="A33" i="1"/>
  <c r="A32" i="1"/>
  <c r="A30" i="1"/>
  <c r="A34" i="1"/>
  <c r="A31" i="1"/>
  <c r="A35" i="1"/>
  <c r="A14" i="1"/>
  <c r="A12" i="1"/>
  <c r="A10" i="1"/>
  <c r="A9" i="1"/>
  <c r="A11" i="1"/>
  <c r="A13" i="1"/>
  <c r="A22" i="1"/>
  <c r="A15" i="1"/>
  <c r="A21" i="1"/>
  <c r="A18" i="1"/>
  <c r="A20" i="1"/>
  <c r="A19" i="1"/>
  <c r="A16" i="1"/>
  <c r="A17" i="1"/>
  <c r="A23" i="1"/>
  <c r="A24" i="1"/>
  <c r="A26" i="1"/>
  <c r="A25" i="1"/>
  <c r="A27" i="1"/>
  <c r="A28" i="1"/>
  <c r="A29" i="1"/>
  <c r="A37" i="1"/>
  <c r="A40" i="1"/>
  <c r="A45" i="1"/>
  <c r="A49" i="1"/>
  <c r="A44" i="1"/>
  <c r="A46" i="1"/>
  <c r="A43" i="1"/>
  <c r="A42" i="1"/>
  <c r="A47" i="1"/>
  <c r="A48" i="1"/>
  <c r="A50" i="1"/>
  <c r="A51" i="1"/>
  <c r="A52" i="1"/>
  <c r="A53" i="1"/>
  <c r="A56" i="1"/>
  <c r="A54" i="1"/>
  <c r="A57" i="1"/>
  <c r="A55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1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<sst xmlns="http://schemas.openxmlformats.org/spreadsheetml/2006/main" count="987" uniqueCount="199">
  <si>
    <t>ANO</t>
  </si>
  <si>
    <t>MÊS</t>
  </si>
  <si>
    <t>LOCAL</t>
  </si>
  <si>
    <t>FAMÍLIA</t>
  </si>
  <si>
    <t>EMBALAGEM</t>
  </si>
  <si>
    <t>PRODUTO</t>
  </si>
  <si>
    <t>ESTOQUE INICIAL</t>
  </si>
  <si>
    <t>COTA LOCAL</t>
  </si>
  <si>
    <t>NECESS. PROD.</t>
  </si>
  <si>
    <t>PRODUÇÃO REAL</t>
  </si>
  <si>
    <t>ADERÊNCIA (%)</t>
  </si>
  <si>
    <t>MORAVIA</t>
  </si>
  <si>
    <t>HIDRATAR</t>
  </si>
  <si>
    <t>1,5L</t>
  </si>
  <si>
    <t>REFRIKO PET</t>
  </si>
  <si>
    <t>MARCA</t>
  </si>
  <si>
    <t>AGUA HIDRATAR S/ GAS 12X500ML IND - MORAVIA</t>
  </si>
  <si>
    <t>AGUA</t>
  </si>
  <si>
    <t>AGUA HIDRATAR S/ GAS 12X330ML IND - MORAVIA</t>
  </si>
  <si>
    <t>AGUA HIDRATAR C/ GAS 12X330ML IND - MORAVIA</t>
  </si>
  <si>
    <t>AGUA HIDRATAR C/ GAS 12X500ML IND - MORAVIA</t>
  </si>
  <si>
    <t>AGUA HIDRATAR S/ GAS 48X200ML IND - MORAVIA</t>
  </si>
  <si>
    <t>AGUA HIDRATAR C/ GAS 6X1,5LT IND - MORAVIA</t>
  </si>
  <si>
    <t>AGUA HIDRATAR S/ GAS 6X1,5LT IND - MORAVIA</t>
  </si>
  <si>
    <t>FURIOSO MELANCIA E MORANGO 12X250ML IND - REFRIKO</t>
  </si>
  <si>
    <t>ENERGETICO</t>
  </si>
  <si>
    <t>FURIOSO</t>
  </si>
  <si>
    <t>FURIOSO TRADICIONAL 12X250ML IND - REFRIKO</t>
  </si>
  <si>
    <t>FURIOSO MACA VERDE E MELAO 12X250ML IND - REFRIKO</t>
  </si>
  <si>
    <t>REFRIGERANTE</t>
  </si>
  <si>
    <t>REFRISHOW</t>
  </si>
  <si>
    <t>FURIOSO TROPICAL 12X250ML IND - REFRIKO</t>
  </si>
  <si>
    <t>FURIOSO TRADICIONAL 6X2LT IND - REFRIKO</t>
  </si>
  <si>
    <t>2LT</t>
  </si>
  <si>
    <t>FURIOSO UVA VERDE E PESSEGO 6X2LT IND - REFRIKO</t>
  </si>
  <si>
    <t>TUBAJUJUBA GUARANA 6X2LT</t>
  </si>
  <si>
    <t>JUJUBA</t>
  </si>
  <si>
    <t>REFRISHOW GUARANA 6X2LT</t>
  </si>
  <si>
    <t>TERNURA TUBAINA 6X2LT</t>
  </si>
  <si>
    <t>TERNURA</t>
  </si>
  <si>
    <t>FURIOSO MELANCIA E MORANGO 6X2LT IND - REFRIKO</t>
  </si>
  <si>
    <t>FURIOSO TROPICAL 6X2LT IND - REFRIKO</t>
  </si>
  <si>
    <t>REFRIKO</t>
  </si>
  <si>
    <t>REFRIKO UVA 6X2LT</t>
  </si>
  <si>
    <t>REFRISHOW LARANJA 6X2LT</t>
  </si>
  <si>
    <t>TUBAJUJUBA LARANJA 6X2LT</t>
  </si>
  <si>
    <t>TERNURA LARANJA 6X2LT</t>
  </si>
  <si>
    <t>REFRIKO GUARANA S/ ACUCARES 6X2LT</t>
  </si>
  <si>
    <t>REFRIKO FRAMBOESA 6X2LT</t>
  </si>
  <si>
    <t>REFRIKO COLA 6X2LT</t>
  </si>
  <si>
    <t>REFRIKO LIMAO 6X2LT</t>
  </si>
  <si>
    <t>REFRIKO LARANJA 6X2LT</t>
  </si>
  <si>
    <t>REFRIKO GUARANA 6X2LT</t>
  </si>
  <si>
    <t>REFRIKO TUBAINA 6X2LT</t>
  </si>
  <si>
    <t>FURIOSO MACA VERDE E MELAO 6X2LT IND - REFRIKO</t>
  </si>
  <si>
    <t>REFRIKO GUARANA 12X500ML IND - REFRIKO</t>
  </si>
  <si>
    <t>REFRIKO GUARANA 12X500ML</t>
  </si>
  <si>
    <t>REFRIKO TUBAINA 12X500ML IND - REFRIKO</t>
  </si>
  <si>
    <t>REFRIKO TUBAINA 12X500ML</t>
  </si>
  <si>
    <t>REFRIKO LARANJA 12X500ML IND - REFRIKO</t>
  </si>
  <si>
    <t>REFRIKO LARANJA 12X500ML</t>
  </si>
  <si>
    <t>REFRIKO COLA 12X500ML</t>
  </si>
  <si>
    <t>REFRIKO COLA 12X200ML</t>
  </si>
  <si>
    <t>REFRIKO COLA 12X500ML IND - REFRIKO</t>
  </si>
  <si>
    <t>REFRIKO COLA 12X200ML IND - REFRIKO</t>
  </si>
  <si>
    <t>REFRIKO LARANJA 12X200ML</t>
  </si>
  <si>
    <t>REFRIKO LIMAO 12X200ML</t>
  </si>
  <si>
    <t>REFRIKO LARANJA 12X200ML IND - REFRIKO</t>
  </si>
  <si>
    <t>REFRIKO GUARANA 12X200ML IND - REFRIKO</t>
  </si>
  <si>
    <t>REFRIKO LIMAO 12X200ML IND - REFRIKO</t>
  </si>
  <si>
    <t>REFRIKO GUARANA 12X200ML</t>
  </si>
  <si>
    <t>REFRIKO TUBAINA 12X200ML IND - REFRIKO</t>
  </si>
  <si>
    <t>REFRIKO TUBAINA 12X200ML</t>
  </si>
  <si>
    <t>COQ NOCH ICE LIMAO 12X270ML IND - REFRIKO</t>
  </si>
  <si>
    <t>COQ NOCH ICE MARACUJA 12X270ML IND - REFRIKO</t>
  </si>
  <si>
    <t>MALDIVES</t>
  </si>
  <si>
    <t>COQ NOCH ICE MELANCIA E MORANGO 12X270ML IND - REFRIKO</t>
  </si>
  <si>
    <t>FURIOSO UVA VERDE E PESSEGO 12X250ML IND - REFRIKO</t>
  </si>
  <si>
    <t>AT MALDIVES 12X250ML IND - REFRIKO</t>
  </si>
  <si>
    <t>BOMBADÃO</t>
  </si>
  <si>
    <t>CAIDEIRA</t>
  </si>
  <si>
    <t>NOCH</t>
  </si>
  <si>
    <t>2L</t>
  </si>
  <si>
    <t>COQUETEL</t>
  </si>
  <si>
    <t>BOMBADAO ENERGY DRINK 6X2LT IND - REFRIKO</t>
  </si>
  <si>
    <t>REFRIKO TUBAINA S/ ACUCARES 6X2LT</t>
  </si>
  <si>
    <t>REFRIKO GUARANA S/ ACUCARES 12X200ML</t>
  </si>
  <si>
    <t>REFRIKO UVA 12X200ML</t>
  </si>
  <si>
    <t>REFRIKO GUARANA S/ ACUCARES 12X200ML IND - REFRIKO</t>
  </si>
  <si>
    <t>REFRIKO UVA 12X200ML IND - REFRIKO</t>
  </si>
  <si>
    <t>FURIOSO ACAI 12X250ML IND - REFRIKO</t>
  </si>
  <si>
    <t>FURIOSO CITRUS 12X250ML IND - REFRIKO</t>
  </si>
  <si>
    <t>DESTILADO</t>
  </si>
  <si>
    <t>CAC CAIDEIRA 12X450ML IND - REFRIKO</t>
  </si>
  <si>
    <t>SJP PET</t>
  </si>
  <si>
    <t>MOEMA</t>
  </si>
  <si>
    <t>CER MOEMA 12X350ML</t>
  </si>
  <si>
    <t>CERVEJA</t>
  </si>
  <si>
    <t>CER MOEMA 12X473ML</t>
  </si>
  <si>
    <t>BAMBOA</t>
  </si>
  <si>
    <t>CER BAMBOA 12X350ML</t>
  </si>
  <si>
    <t>CER MOEMA 12X269ML</t>
  </si>
  <si>
    <t>SJP LATA</t>
  </si>
  <si>
    <t>CER MOEMA URUGUAI 12X473ML EXP</t>
  </si>
  <si>
    <t>CER MOEMA PILSEN ARGENTINA 12X473ML EXP</t>
  </si>
  <si>
    <t>SET</t>
  </si>
  <si>
    <t>REFRIKO COLA 4X3LT</t>
  </si>
  <si>
    <t>REFRIKO GUARANA 4X3LT</t>
  </si>
  <si>
    <t>REFRIKO TUBAINA 4X3LT</t>
  </si>
  <si>
    <t>FURIOSO MELANCIA E MORANGO 6X2LT</t>
  </si>
  <si>
    <t>FURIOSO MACA VERDE E MELAO 6X2LT</t>
  </si>
  <si>
    <t>FURIOSO TRADICIONAL 6X2LT</t>
  </si>
  <si>
    <t>FURIOSO TROPICAL 6X2LT</t>
  </si>
  <si>
    <t>FURIOSO TRADICIONAL 6X1LT</t>
  </si>
  <si>
    <t>FURIOSO UVA VERDE E PESSEGO 6X2LT</t>
  </si>
  <si>
    <t>REFRIKO COLA 6X2,5LT</t>
  </si>
  <si>
    <t>REFRIKO GUARANA 6X2,5LT</t>
  </si>
  <si>
    <t>REFRIKO TUBAINA 6X2,5LT</t>
  </si>
  <si>
    <t>BAMBOA PET</t>
  </si>
  <si>
    <t>3LT</t>
  </si>
  <si>
    <t>1L</t>
  </si>
  <si>
    <t>2,5LT</t>
  </si>
  <si>
    <t>BAMBOA LATA</t>
  </si>
  <si>
    <t>REFRIKO COLA 6X350ML</t>
  </si>
  <si>
    <t>REFRIKO GUARANA 6X350ML</t>
  </si>
  <si>
    <t>REFRIKO LARANJA 6X350ML</t>
  </si>
  <si>
    <t>REFRIKO TUBAINA 6X350ML</t>
  </si>
  <si>
    <t>REFRIKO UVA 6X350ML</t>
  </si>
  <si>
    <t>FURIOSO MACA VERDE E MELAO 6X473ML</t>
  </si>
  <si>
    <t>FURIOSO TRADICIONAL 6X473ML</t>
  </si>
  <si>
    <t>FURIOSO TROPICAL 6X473ML</t>
  </si>
  <si>
    <t>FURIOSO TROPICAL 6X473ML EXP</t>
  </si>
  <si>
    <t>FURIOSO TRADICIONAL ZERO 6X473ML</t>
  </si>
  <si>
    <t>FURIOSO MELANCIA E MORANGO ZERO 6X473ML</t>
  </si>
  <si>
    <t>FURIOSO TRADICIONAL 6X269ML</t>
  </si>
  <si>
    <t>FURIOSO TRADICIONAL ZERO 6X269ML</t>
  </si>
  <si>
    <t>FURIOSO MELANCIA E MORANGO 6X269ML</t>
  </si>
  <si>
    <t>FURIOSO MELANCIA E MORANGO ZERO 6X269ML</t>
  </si>
  <si>
    <t>FURIOSO MACA VERDE E MELAO 6X269ML</t>
  </si>
  <si>
    <t>FURIOSO UVA VERDE E PESSEGO 6X269ML</t>
  </si>
  <si>
    <t>FURIOSO UVA VERDE E PESSEGO 6X473ML</t>
  </si>
  <si>
    <t>FURIOSO TANGERINA E LIMAO ZERO 6X473ML</t>
  </si>
  <si>
    <t>FURIOSO LARANJA ULTRA CITRUS ZERO 6X473ML</t>
  </si>
  <si>
    <t>COQ COWBOYS PESSEGO 6X350ML</t>
  </si>
  <si>
    <t>CV BELLA ROMA 6X265ML</t>
  </si>
  <si>
    <t>CV BELLA ROMA 6X473ML</t>
  </si>
  <si>
    <t>CER BAMBOA 12X269ML - INTER BELEM</t>
  </si>
  <si>
    <t>CER BAMBOA 12X269ML</t>
  </si>
  <si>
    <t>CER BAMBOA 12X473ML</t>
  </si>
  <si>
    <t>CER DEL PUERTO 12X269ML</t>
  </si>
  <si>
    <t>CER DEL PUERTO 12X350ML</t>
  </si>
  <si>
    <t>REFRIKO COLA 6X350ML EXP</t>
  </si>
  <si>
    <t>REFRIKO GUARANA 6X350ML EXP</t>
  </si>
  <si>
    <t>REFRIKO LARANJA 6X350ML EXP</t>
  </si>
  <si>
    <t>REFRIKO TUBAINA 6X350ML EXP</t>
  </si>
  <si>
    <t>REFRIKO UVA 6X350ML EXP</t>
  </si>
  <si>
    <t>FURIOSO TRADICIONAL 6X473ML EXP</t>
  </si>
  <si>
    <t>FURIOSO MACA VERDE E MELAO 6X473ML EXP</t>
  </si>
  <si>
    <t>FURIOSO TRADICIONAL ZERO 6X473ML EXP</t>
  </si>
  <si>
    <t>FURIOSO MELANCIA E MORANGO ZERO 6X473ML EXP</t>
  </si>
  <si>
    <t>FURIOSO TRADICIONAL 6X269ML EXP</t>
  </si>
  <si>
    <t>CV BELLA ROMA 6X265ML EXP</t>
  </si>
  <si>
    <t>CV BELLA ROMA 6X473ML EXP</t>
  </si>
  <si>
    <t>CER MOEMA 12X473ML EXP</t>
  </si>
  <si>
    <t>CER MOEMA 12X269ML EXP</t>
  </si>
  <si>
    <t>CER MOEMA 12X350ML EXP</t>
  </si>
  <si>
    <t>FURIOSO TROPICAL 6X269ML</t>
  </si>
  <si>
    <t>CHOPP VINHO</t>
  </si>
  <si>
    <t>BAMBOA VIDRO</t>
  </si>
  <si>
    <t>REFRIKO GUARANA 24X600ML - RET</t>
  </si>
  <si>
    <t>REFRIKO LARANJA 24X600ML - RET</t>
  </si>
  <si>
    <t>REFRIKO LIMAO 24X600ML - RET</t>
  </si>
  <si>
    <t>REFRIKO TUBAINA 12X300ML</t>
  </si>
  <si>
    <t>REFRIKO TUBAINA S/ ACUCARES 12X300ML</t>
  </si>
  <si>
    <t>REFRIKO TUBAINA 24X600ML - RET</t>
  </si>
  <si>
    <t>REFRIKO TUBAINA 12X355ML</t>
  </si>
  <si>
    <t>CV BELLA ROMA 6X600ML</t>
  </si>
  <si>
    <t>CV BELLA ROMA INTER BELEM 6X600ML</t>
  </si>
  <si>
    <t>CER BAMBOA 12X330ML</t>
  </si>
  <si>
    <t>CER MOEMA 6X355ML</t>
  </si>
  <si>
    <t>CER MOEMA 24X600ML - RET</t>
  </si>
  <si>
    <t>CER MOEMA 6X600ML</t>
  </si>
  <si>
    <t>VOD BAMBOA 6X970ML</t>
  </si>
  <si>
    <t>VOD JAMES COOK 6X900ML</t>
  </si>
  <si>
    <t>GIN JAMES COOK 6X900ML</t>
  </si>
  <si>
    <t>FUNADA TUBAINA 24X605ML</t>
  </si>
  <si>
    <t>CER MOEMA 6X600ML EXP</t>
  </si>
  <si>
    <t>CER BAMBOA 12X330ML EXP</t>
  </si>
  <si>
    <t>VOD BAMBOA 6X970ML EXP</t>
  </si>
  <si>
    <t>GIN JAMES COOK 6X900ML EXP</t>
  </si>
  <si>
    <t>VOD JAMES COOK 6X900ML EXP</t>
  </si>
  <si>
    <t>GIN JAMES COOK INTER BELEM 6X900ML</t>
  </si>
  <si>
    <t>VOD JAMES COOK INTER BELEM 6X900ML</t>
  </si>
  <si>
    <t>BELLA ROMA</t>
  </si>
  <si>
    <t>VOD BAMBOA</t>
  </si>
  <si>
    <t>JAMES</t>
  </si>
  <si>
    <t>FUNADA</t>
  </si>
  <si>
    <t>DEL PUERTO</t>
  </si>
  <si>
    <t>COWBOYS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</si>
</sst>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14"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4DA727-DC88-469F-9172-226B18A2D642}" name="Tabela1" displayName="Tabela1" ref="B1:M185" totalsRowShown="0" headerRowDxfId="13" dataDxfId="12">
  <autoFilter ref="B1:M185" xr:uid="{774DA727-DC88-469F-9172-226B18A2D642}"/>
  <tableColumns count="12">
    <tableColumn id="1" xr3:uid="{7341D16B-2618-48EE-8E2F-5219007AB9D6}" name="ANO" dataDxfId="11"/>
    <tableColumn id="2" xr3:uid="{FBA86A76-346C-4121-831B-1DCC07232F37}" name="MÊS" dataDxfId="10"/>
    <tableColumn id="3" xr3:uid="{54106718-2A1E-43F8-87B3-F5DD4A799E36}" name="LOCAL" dataDxfId="9"/>
    <tableColumn id="10" xr3:uid="{0A3A38CA-D6C2-41A2-B0AF-77108AF06E9E}" name="FAMÍLIA" dataDxfId="8"/>
    <tableColumn id="12" xr3:uid="{72412C44-F400-4D5C-B7F1-038A86138CAF}" name="MARCA" dataDxfId="7"/>
    <tableColumn id="11" xr3:uid="{77A4A075-507F-4D14-8718-3BED99890CFD}" name="EMBALAGEM" dataDxfId="6"/>
    <tableColumn id="4" xr3:uid="{940D93B9-92A5-4FBC-935C-B6942F2B2E95}" name="PRODUTO" dataDxfId="5"/>
    <tableColumn id="5" xr3:uid="{D3EB3F88-2739-4727-A932-AA2D47A7B1F7}" name="ESTOQUE INICIAL" dataDxfId="4"/>
    <tableColumn id="6" xr3:uid="{D6765241-371A-4629-A4E4-F2EB29019611}" name="COTA LOCAL" dataDxfId="3"/>
    <tableColumn id="7" xr3:uid="{D2780C91-B385-4762-AC93-9C6702D7822D}" name="NECESS. PROD." dataDxfId="2"/>
    <tableColumn id="8" xr3:uid="{532B27C0-7B0E-4F97-8C8F-EC34DEA73303}" name="PRODUÇÃO REAL" dataDxfId="1"/>
    <tableColumn id="9" xr3:uid="{63758CE8-1DAE-4C07-9C07-6606438DFFF9}" name="ADERÊNCIA (%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341F-493D-4530-A0F3-A4C38D814A04}">
  <dimension ref="A1:M185"/>
  <sheetViews>
    <sheetView tabSelected="1" zoomScaleNormal="100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8.5703125" bestFit="1" customWidth="1"/>
    <col min="2" max="2" width="9.5703125" style="1" bestFit="1" customWidth="1"/>
    <col min="3" max="3" width="9.42578125" style="1" bestFit="1" customWidth="1"/>
    <col min="4" max="4" width="14.7109375" style="1" bestFit="1" customWidth="1"/>
    <col min="5" max="5" width="14.140625" style="1" bestFit="1" customWidth="1"/>
    <col min="6" max="6" width="12.85546875" style="1" bestFit="1" customWidth="1"/>
    <col min="7" max="7" width="16.85546875" style="1" bestFit="1" customWidth="1"/>
    <col min="8" max="8" width="57.7109375" style="1" bestFit="1" customWidth="1"/>
    <col min="9" max="9" width="21.42578125" style="1" bestFit="1" customWidth="1"/>
    <col min="10" max="10" width="17" style="1" bestFit="1" customWidth="1"/>
    <col min="11" max="11" width="20" style="1" bestFit="1" customWidth="1"/>
    <col min="12" max="12" width="21.28515625" style="4" bestFit="1" customWidth="1"/>
    <col min="13" max="13" width="19.85546875" bestFit="1" customWidth="1"/>
  </cols>
  <sheetData>
    <row r="1" spans="1:13" x14ac:dyDescent="0.25">
      <c r="A1" t="str">
        <f>Tabela1[[#Headers],[MÊS]]&amp;""&amp;Tabela1[[#Headers],[ANO]]</f>
        <v>MÊSANO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15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4" t="s">
        <v>10</v>
      </c>
    </row>
    <row r="2" spans="1:13" x14ac:dyDescent="0.25">
      <c r="A2" t="str">
        <f>Tabela1[[#This Row],[MÊS]]&amp;""&amp;Tabela1[[#This Row],[ANO]]</f>
        <v>SET2026</v>
      </c>
      <c r="B2" s="1">
        <v>2026</v>
      </c>
      <c r="C2" t="s">
        <v>105</v>
      </c>
      <c r="D2" s="1" t="s">
        <v>11</v>
      </c>
      <c r="E2" s="1" t="s">
        <v>17</v>
      </c>
      <c r="F2" s="1" t="s">
        <v>12</v>
      </c>
      <c r="G2" s="1">
        <v>500</v>
      </c>
      <c r="H2" t="s">
        <v>16</v>
      </c>
      <c r="I2" s="3">
        <v>120491</v>
      </c>
      <c r="J2" s="3">
        <v>112500</v>
      </c>
      <c r="K2" s="2">
        <v>-7991</v>
      </c>
      <c r="L2" s="2">
        <v>-5384.3439950101429</v>
      </c>
      <c r="M2" s="14">
        <v>0.67380102552998911</v>
      </c>
    </row>
    <row r="3" spans="1:13" x14ac:dyDescent="0.25">
      <c r="A3" t="str">
        <f>Tabela1[[#This Row],[MÊS]]&amp;""&amp;Tabela1[[#This Row],[ANO]]</f>
        <v>SET2026</v>
      </c>
      <c r="B3" s="1">
        <v>2026</v>
      </c>
      <c r="C3" t="s">
        <v>105</v>
      </c>
      <c r="D3" s="1" t="s">
        <v>11</v>
      </c>
      <c r="E3" s="1" t="s">
        <v>17</v>
      </c>
      <c r="F3" s="1" t="s">
        <v>12</v>
      </c>
      <c r="G3" s="1">
        <v>500</v>
      </c>
      <c r="H3" t="s">
        <v>20</v>
      </c>
      <c r="I3" s="3">
        <v>18745</v>
      </c>
      <c r="J3" s="3">
        <v>118750</v>
      </c>
      <c r="K3" s="2">
        <v>100005</v>
      </c>
      <c r="L3" s="2">
        <v>61363.122432575168</v>
      </c>
      <c r="M3" s="14">
        <v>0.61360054429853672</v>
      </c>
    </row>
    <row r="4" spans="1:13" x14ac:dyDescent="0.25">
      <c r="A4" t="str">
        <f>Tabela1[[#This Row],[MÊS]]&amp;""&amp;Tabela1[[#This Row],[ANO]]</f>
        <v>SET2026</v>
      </c>
      <c r="B4" s="1">
        <v>2026</v>
      </c>
      <c r="C4" t="s">
        <v>105</v>
      </c>
      <c r="D4" s="1" t="s">
        <v>11</v>
      </c>
      <c r="E4" s="1" t="s">
        <v>17</v>
      </c>
      <c r="F4" s="1" t="s">
        <v>12</v>
      </c>
      <c r="G4" s="1" t="s">
        <v>13</v>
      </c>
      <c r="H4" t="s">
        <v>23</v>
      </c>
      <c r="I4" s="3">
        <v>4083</v>
      </c>
      <c r="J4" s="3">
        <v>9000</v>
      </c>
      <c r="K4" s="2">
        <v>4917</v>
      </c>
      <c r="L4" s="2">
        <v>3908.4875589718481</v>
      </c>
      <c r="M4" s="14">
        <v>0.79489273113114667</v>
      </c>
    </row>
    <row r="5" spans="1:13" x14ac:dyDescent="0.25">
      <c r="A5" t="str">
        <f>Tabela1[[#This Row],[MÊS]]&amp;""&amp;Tabela1[[#This Row],[ANO]]</f>
        <v>SET2026</v>
      </c>
      <c r="B5" s="1">
        <v>2026</v>
      </c>
      <c r="C5" t="s">
        <v>105</v>
      </c>
      <c r="D5" s="1" t="s">
        <v>11</v>
      </c>
      <c r="E5" s="1" t="s">
        <v>17</v>
      </c>
      <c r="F5" s="1" t="s">
        <v>12</v>
      </c>
      <c r="G5" s="1" t="s">
        <v>13</v>
      </c>
      <c r="H5" t="s">
        <v>22</v>
      </c>
      <c r="I5" s="3">
        <v>5014</v>
      </c>
      <c r="J5" s="3">
        <v>4500</v>
      </c>
      <c r="K5" s="2">
        <v>-514</v>
      </c>
      <c r="L5" s="2">
        <v>-317.34950046347171</v>
      </c>
      <c r="M5" s="14">
        <v>0.61741147950091768</v>
      </c>
    </row>
    <row r="6" spans="1:13" x14ac:dyDescent="0.25">
      <c r="A6" t="str">
        <f>Tabela1[[#This Row],[MÊS]]&amp;""&amp;Tabela1[[#This Row],[ANO]]</f>
        <v>SET2026</v>
      </c>
      <c r="B6" s="1">
        <v>2026</v>
      </c>
      <c r="C6" t="s">
        <v>105</v>
      </c>
      <c r="D6" s="1" t="s">
        <v>11</v>
      </c>
      <c r="E6" s="1" t="s">
        <v>17</v>
      </c>
      <c r="F6" s="1" t="s">
        <v>12</v>
      </c>
      <c r="G6" s="1">
        <v>200</v>
      </c>
      <c r="H6" t="s">
        <v>21</v>
      </c>
      <c r="I6" s="3">
        <v>1991</v>
      </c>
      <c r="J6" s="3">
        <v>2100</v>
      </c>
      <c r="K6" s="2">
        <v>109</v>
      </c>
      <c r="L6" s="2">
        <v>73.240280890769313</v>
      </c>
      <c r="M6" s="14">
        <v>0.67192918248412214</v>
      </c>
    </row>
    <row r="7" spans="1:13" x14ac:dyDescent="0.25">
      <c r="A7" t="str">
        <f>Tabela1[[#This Row],[MÊS]]&amp;""&amp;Tabela1[[#This Row],[ANO]]</f>
        <v>SET2026</v>
      </c>
      <c r="B7" s="1">
        <v>2026</v>
      </c>
      <c r="C7" t="s">
        <v>105</v>
      </c>
      <c r="D7" s="1" t="s">
        <v>11</v>
      </c>
      <c r="E7" s="1" t="s">
        <v>17</v>
      </c>
      <c r="F7" s="1" t="s">
        <v>12</v>
      </c>
      <c r="G7" s="1">
        <v>330</v>
      </c>
      <c r="H7" t="s">
        <v>18</v>
      </c>
      <c r="I7" s="3">
        <v>2442</v>
      </c>
      <c r="J7" s="3">
        <v>813</v>
      </c>
      <c r="K7" s="2">
        <v>-1629</v>
      </c>
      <c r="L7" s="2">
        <v>-1086.8661561780013</v>
      </c>
      <c r="M7" s="14">
        <v>0.66719837702762519</v>
      </c>
    </row>
    <row r="8" spans="1:13" x14ac:dyDescent="0.25">
      <c r="A8" t="str">
        <f>Tabela1[[#This Row],[MÊS]]&amp;""&amp;Tabela1[[#This Row],[ANO]]</f>
        <v>SET2026</v>
      </c>
      <c r="B8" s="1">
        <v>2026</v>
      </c>
      <c r="C8" t="s">
        <v>105</v>
      </c>
      <c r="D8" s="1" t="s">
        <v>11</v>
      </c>
      <c r="E8" s="1" t="s">
        <v>17</v>
      </c>
      <c r="F8" s="1" t="s">
        <v>12</v>
      </c>
      <c r="G8" s="1">
        <v>330</v>
      </c>
      <c r="H8" t="s">
        <v>19</v>
      </c>
      <c r="I8" s="3">
        <v>389</v>
      </c>
      <c r="J8" s="3">
        <v>3750</v>
      </c>
      <c r="K8" s="2">
        <v>3361</v>
      </c>
      <c r="L8" s="2">
        <v>2650.4070747117944</v>
      </c>
      <c r="M8" s="14">
        <v>0.78857693386247973</v>
      </c>
    </row>
    <row r="9" spans="1:13" x14ac:dyDescent="0.25">
      <c r="A9" t="str">
        <f>Tabela1[[#This Row],[MÊS]]&amp;""&amp;Tabela1[[#This Row],[ANO]]</f>
        <v>SET2026</v>
      </c>
      <c r="B9" s="1">
        <v>2026</v>
      </c>
      <c r="C9" t="s">
        <v>105</v>
      </c>
      <c r="D9" s="1" t="s">
        <v>14</v>
      </c>
      <c r="E9" s="1" t="s">
        <v>25</v>
      </c>
      <c r="F9" s="1" t="s">
        <v>26</v>
      </c>
      <c r="G9" s="1" t="s">
        <v>82</v>
      </c>
      <c r="H9" t="s">
        <v>32</v>
      </c>
      <c r="I9" s="3">
        <v>12822</v>
      </c>
      <c r="J9" s="3">
        <v>49162</v>
      </c>
      <c r="K9" s="2">
        <v>36340</v>
      </c>
      <c r="L9" s="2">
        <v>26470.660562959827</v>
      </c>
      <c r="M9" s="14">
        <v>0.72841663629498699</v>
      </c>
    </row>
    <row r="10" spans="1:13" x14ac:dyDescent="0.25">
      <c r="A10" t="str">
        <f>Tabela1[[#This Row],[MÊS]]&amp;""&amp;Tabela1[[#This Row],[ANO]]</f>
        <v>SET2026</v>
      </c>
      <c r="B10" s="1">
        <v>2026</v>
      </c>
      <c r="C10" t="s">
        <v>105</v>
      </c>
      <c r="D10" s="1" t="s">
        <v>14</v>
      </c>
      <c r="E10" s="1" t="s">
        <v>25</v>
      </c>
      <c r="F10" s="1" t="s">
        <v>26</v>
      </c>
      <c r="G10" s="1" t="s">
        <v>82</v>
      </c>
      <c r="H10" t="s">
        <v>54</v>
      </c>
      <c r="I10" s="3">
        <v>1568</v>
      </c>
      <c r="J10" s="3">
        <v>7459</v>
      </c>
      <c r="K10" s="2">
        <v>5891</v>
      </c>
      <c r="L10" s="2">
        <v>5812.0153082261022</v>
      </c>
      <c r="M10" s="14">
        <v>0.98659231170023798</v>
      </c>
    </row>
    <row r="11" spans="1:13" x14ac:dyDescent="0.25">
      <c r="A11" t="str">
        <f>Tabela1[[#This Row],[MÊS]]&amp;""&amp;Tabela1[[#This Row],[ANO]]</f>
        <v>SET2026</v>
      </c>
      <c r="B11" s="1">
        <v>2026</v>
      </c>
      <c r="C11" t="s">
        <v>105</v>
      </c>
      <c r="D11" s="1" t="s">
        <v>14</v>
      </c>
      <c r="E11" s="1" t="s">
        <v>25</v>
      </c>
      <c r="F11" s="1" t="s">
        <v>26</v>
      </c>
      <c r="G11" s="1" t="s">
        <v>82</v>
      </c>
      <c r="H11" t="s">
        <v>41</v>
      </c>
      <c r="I11" s="3">
        <v>537</v>
      </c>
      <c r="J11" s="3">
        <v>8579</v>
      </c>
      <c r="K11" s="2">
        <v>8042</v>
      </c>
      <c r="L11" s="2">
        <v>6766.9111012078765</v>
      </c>
      <c r="M11" s="14">
        <v>0.84144629460431197</v>
      </c>
    </row>
    <row r="12" spans="1:13" x14ac:dyDescent="0.25">
      <c r="A12" t="str">
        <f>Tabela1[[#This Row],[MÊS]]&amp;""&amp;Tabela1[[#This Row],[ANO]]</f>
        <v>SET2026</v>
      </c>
      <c r="B12" s="1">
        <v>2026</v>
      </c>
      <c r="C12" t="s">
        <v>105</v>
      </c>
      <c r="D12" s="1" t="s">
        <v>14</v>
      </c>
      <c r="E12" s="1" t="s">
        <v>25</v>
      </c>
      <c r="F12" s="1" t="s">
        <v>26</v>
      </c>
      <c r="G12" s="1" t="s">
        <v>82</v>
      </c>
      <c r="H12" t="s">
        <v>40</v>
      </c>
      <c r="I12" s="3">
        <v>1960</v>
      </c>
      <c r="J12" s="3">
        <v>17293</v>
      </c>
      <c r="K12" s="2">
        <v>15333</v>
      </c>
      <c r="L12" s="2">
        <v>12530.219798434142</v>
      </c>
      <c r="M12" s="14">
        <v>0.81720601307207608</v>
      </c>
    </row>
    <row r="13" spans="1:13" x14ac:dyDescent="0.25">
      <c r="A13" t="str">
        <f>Tabela1[[#This Row],[MÊS]]&amp;""&amp;Tabela1[[#This Row],[ANO]]</f>
        <v>SET2026</v>
      </c>
      <c r="B13" s="1">
        <v>2026</v>
      </c>
      <c r="C13" t="s">
        <v>105</v>
      </c>
      <c r="D13" s="1" t="s">
        <v>14</v>
      </c>
      <c r="E13" s="1" t="s">
        <v>25</v>
      </c>
      <c r="F13" s="1" t="s">
        <v>26</v>
      </c>
      <c r="G13" s="1" t="s">
        <v>82</v>
      </c>
      <c r="H13" t="s">
        <v>34</v>
      </c>
      <c r="I13" s="3">
        <v>2036</v>
      </c>
      <c r="J13" s="3">
        <v>8450</v>
      </c>
      <c r="K13" s="2">
        <v>6414</v>
      </c>
      <c r="L13" s="2">
        <v>5616.586278786679</v>
      </c>
      <c r="M13" s="14">
        <v>0.87567606466895531</v>
      </c>
    </row>
    <row r="14" spans="1:13" x14ac:dyDescent="0.25">
      <c r="A14" t="str">
        <f>Tabela1[[#This Row],[MÊS]]&amp;""&amp;Tabela1[[#This Row],[ANO]]</f>
        <v>SET2026</v>
      </c>
      <c r="B14" s="1">
        <v>2026</v>
      </c>
      <c r="C14" t="s">
        <v>105</v>
      </c>
      <c r="D14" s="1" t="s">
        <v>14</v>
      </c>
      <c r="E14" s="1" t="s">
        <v>29</v>
      </c>
      <c r="F14" s="1" t="s">
        <v>42</v>
      </c>
      <c r="G14" s="1" t="s">
        <v>82</v>
      </c>
      <c r="H14" s="7" t="s">
        <v>50</v>
      </c>
      <c r="I14" s="3">
        <v>1759</v>
      </c>
      <c r="J14" s="3">
        <v>14462</v>
      </c>
      <c r="K14" s="2">
        <v>12703</v>
      </c>
      <c r="L14" s="2">
        <v>8685.968727279942</v>
      </c>
      <c r="M14" s="14">
        <v>0.68377302426827846</v>
      </c>
    </row>
    <row r="15" spans="1:13" x14ac:dyDescent="0.25">
      <c r="A15" t="str">
        <f>Tabela1[[#This Row],[MÊS]]&amp;""&amp;Tabela1[[#This Row],[ANO]]</f>
        <v>SET2026</v>
      </c>
      <c r="B15" s="1">
        <v>2026</v>
      </c>
      <c r="C15" t="s">
        <v>105</v>
      </c>
      <c r="D15" s="1" t="s">
        <v>14</v>
      </c>
      <c r="E15" s="1" t="s">
        <v>29</v>
      </c>
      <c r="F15" s="1" t="s">
        <v>42</v>
      </c>
      <c r="G15" s="13" t="s">
        <v>82</v>
      </c>
      <c r="H15" t="s">
        <v>52</v>
      </c>
      <c r="I15" s="3">
        <v>2158</v>
      </c>
      <c r="J15" s="3">
        <v>35332</v>
      </c>
      <c r="K15" s="2">
        <v>33174</v>
      </c>
      <c r="L15" s="2">
        <v>26921.333362836918</v>
      </c>
      <c r="M15" s="14">
        <v>0.81151906200147461</v>
      </c>
    </row>
    <row r="16" spans="1:13" x14ac:dyDescent="0.25">
      <c r="A16" t="str">
        <f>Tabela1[[#This Row],[MÊS]]&amp;""&amp;Tabela1[[#This Row],[ANO]]</f>
        <v>SET2026</v>
      </c>
      <c r="B16" s="1">
        <v>2026</v>
      </c>
      <c r="C16" t="s">
        <v>105</v>
      </c>
      <c r="D16" s="1" t="s">
        <v>14</v>
      </c>
      <c r="E16" s="1" t="s">
        <v>29</v>
      </c>
      <c r="F16" s="1" t="s">
        <v>42</v>
      </c>
      <c r="G16" s="1" t="s">
        <v>82</v>
      </c>
      <c r="H16" t="s">
        <v>47</v>
      </c>
      <c r="I16" s="3">
        <v>6664</v>
      </c>
      <c r="J16" s="3">
        <v>5477</v>
      </c>
      <c r="K16" s="2">
        <v>-1187</v>
      </c>
      <c r="L16" s="2">
        <v>-1088.4425254474645</v>
      </c>
      <c r="M16" s="14">
        <v>0.91696927164908548</v>
      </c>
    </row>
    <row r="17" spans="1:13" x14ac:dyDescent="0.25">
      <c r="A17" t="str">
        <f>Tabela1[[#This Row],[MÊS]]&amp;""&amp;Tabela1[[#This Row],[ANO]]</f>
        <v>SET2026</v>
      </c>
      <c r="B17" s="1">
        <v>2026</v>
      </c>
      <c r="C17" t="s">
        <v>105</v>
      </c>
      <c r="D17" s="1" t="s">
        <v>14</v>
      </c>
      <c r="E17" s="1" t="s">
        <v>29</v>
      </c>
      <c r="F17" s="1" t="s">
        <v>42</v>
      </c>
      <c r="G17" s="1" t="s">
        <v>82</v>
      </c>
      <c r="H17" t="s">
        <v>85</v>
      </c>
      <c r="I17" s="3">
        <v>5948</v>
      </c>
      <c r="J17" s="3">
        <v>3450</v>
      </c>
      <c r="K17" s="2">
        <v>-2498</v>
      </c>
      <c r="L17" s="2">
        <v>-2467.3116368793872</v>
      </c>
      <c r="M17" s="14">
        <v>0.98771482661304533</v>
      </c>
    </row>
    <row r="18" spans="1:13" x14ac:dyDescent="0.25">
      <c r="A18" t="str">
        <f>Tabela1[[#This Row],[MÊS]]&amp;""&amp;Tabela1[[#This Row],[ANO]]</f>
        <v>SET2026</v>
      </c>
      <c r="B18" s="1">
        <v>2026</v>
      </c>
      <c r="C18" t="s">
        <v>105</v>
      </c>
      <c r="D18" s="1" t="s">
        <v>14</v>
      </c>
      <c r="E18" s="1" t="s">
        <v>29</v>
      </c>
      <c r="F18" s="1" t="s">
        <v>42</v>
      </c>
      <c r="G18" s="13" t="s">
        <v>82</v>
      </c>
      <c r="H18" t="s">
        <v>53</v>
      </c>
      <c r="I18" s="3">
        <v>594</v>
      </c>
      <c r="J18" s="3">
        <v>20506</v>
      </c>
      <c r="K18" s="2">
        <v>19912</v>
      </c>
      <c r="L18" s="2">
        <v>16104.91794507582</v>
      </c>
      <c r="M18" s="14">
        <v>0.80880463765949273</v>
      </c>
    </row>
    <row r="19" spans="1:13" x14ac:dyDescent="0.25">
      <c r="A19" t="str">
        <f>Tabela1[[#This Row],[MÊS]]&amp;""&amp;Tabela1[[#This Row],[ANO]]</f>
        <v>SET2026</v>
      </c>
      <c r="B19" s="1">
        <v>2026</v>
      </c>
      <c r="C19" t="s">
        <v>105</v>
      </c>
      <c r="D19" s="1" t="s">
        <v>14</v>
      </c>
      <c r="E19" s="1" t="s">
        <v>29</v>
      </c>
      <c r="F19" s="1" t="s">
        <v>42</v>
      </c>
      <c r="G19" s="13" t="s">
        <v>82</v>
      </c>
      <c r="H19" t="s">
        <v>48</v>
      </c>
      <c r="I19" s="3">
        <v>6390</v>
      </c>
      <c r="J19" s="3">
        <v>5525</v>
      </c>
      <c r="K19" s="2">
        <v>-865</v>
      </c>
      <c r="L19" s="2">
        <v>-728.18506775342166</v>
      </c>
      <c r="M19" s="14">
        <v>0.8418324482698516</v>
      </c>
    </row>
    <row r="20" spans="1:13" x14ac:dyDescent="0.25">
      <c r="A20" t="str">
        <f>Tabela1[[#This Row],[MÊS]]&amp;""&amp;Tabela1[[#This Row],[ANO]]</f>
        <v>SET2026</v>
      </c>
      <c r="B20" s="1">
        <v>2026</v>
      </c>
      <c r="C20" t="s">
        <v>105</v>
      </c>
      <c r="D20" s="1" t="s">
        <v>14</v>
      </c>
      <c r="E20" s="1" t="s">
        <v>29</v>
      </c>
      <c r="F20" s="1" t="s">
        <v>42</v>
      </c>
      <c r="G20" s="1" t="s">
        <v>82</v>
      </c>
      <c r="H20" t="s">
        <v>43</v>
      </c>
      <c r="I20" s="3">
        <v>10455</v>
      </c>
      <c r="J20" s="3">
        <v>27843</v>
      </c>
      <c r="K20" s="2">
        <v>17388</v>
      </c>
      <c r="L20" s="2">
        <v>15186.057728924874</v>
      </c>
      <c r="M20" s="14">
        <v>0.87336425862231848</v>
      </c>
    </row>
    <row r="21" spans="1:13" x14ac:dyDescent="0.25">
      <c r="A21" t="str">
        <f>Tabela1[[#This Row],[MÊS]]&amp;""&amp;Tabela1[[#This Row],[ANO]]</f>
        <v>SET2026</v>
      </c>
      <c r="B21" s="1">
        <v>2026</v>
      </c>
      <c r="C21" t="s">
        <v>105</v>
      </c>
      <c r="D21" s="1" t="s">
        <v>14</v>
      </c>
      <c r="E21" s="1" t="s">
        <v>29</v>
      </c>
      <c r="F21" s="1" t="s">
        <v>42</v>
      </c>
      <c r="G21" s="1" t="s">
        <v>82</v>
      </c>
      <c r="H21" t="s">
        <v>51</v>
      </c>
      <c r="I21" s="3">
        <v>9997</v>
      </c>
      <c r="J21" s="3">
        <v>26571</v>
      </c>
      <c r="K21" s="2">
        <v>16574</v>
      </c>
      <c r="L21" s="2">
        <v>14345.601169931186</v>
      </c>
      <c r="M21" s="14">
        <v>0.86554851996688709</v>
      </c>
    </row>
    <row r="22" spans="1:13" x14ac:dyDescent="0.25">
      <c r="A22" t="str">
        <f>Tabela1[[#This Row],[MÊS]]&amp;""&amp;Tabela1[[#This Row],[ANO]]</f>
        <v>SET2026</v>
      </c>
      <c r="B22" s="1">
        <v>2026</v>
      </c>
      <c r="C22" t="s">
        <v>105</v>
      </c>
      <c r="D22" s="1" t="s">
        <v>14</v>
      </c>
      <c r="E22" s="1" t="s">
        <v>29</v>
      </c>
      <c r="F22" s="1" t="s">
        <v>42</v>
      </c>
      <c r="G22" s="13" t="s">
        <v>82</v>
      </c>
      <c r="H22" t="s">
        <v>49</v>
      </c>
      <c r="I22" s="3">
        <v>2059</v>
      </c>
      <c r="J22" s="3">
        <v>10868</v>
      </c>
      <c r="K22" s="2">
        <v>8809</v>
      </c>
      <c r="L22" s="2">
        <v>6496.8073369026724</v>
      </c>
      <c r="M22" s="14">
        <v>0.73751927992992083</v>
      </c>
    </row>
    <row r="23" spans="1:13" x14ac:dyDescent="0.25">
      <c r="A23" t="str">
        <f>Tabela1[[#This Row],[MÊS]]&amp;""&amp;Tabela1[[#This Row],[ANO]]</f>
        <v>SET2026</v>
      </c>
      <c r="B23" s="1">
        <v>2026</v>
      </c>
      <c r="C23" t="s">
        <v>105</v>
      </c>
      <c r="D23" s="1" t="s">
        <v>14</v>
      </c>
      <c r="E23" s="1" t="s">
        <v>29</v>
      </c>
      <c r="F23" s="1" t="s">
        <v>36</v>
      </c>
      <c r="G23" s="1" t="s">
        <v>82</v>
      </c>
      <c r="H23" t="s">
        <v>35</v>
      </c>
      <c r="I23" s="3">
        <v>14216</v>
      </c>
      <c r="J23" s="3">
        <v>22539</v>
      </c>
      <c r="K23" s="2">
        <v>8323</v>
      </c>
      <c r="L23" s="2">
        <v>6879.9796161495342</v>
      </c>
      <c r="M23" s="14">
        <v>0.82662256591968453</v>
      </c>
    </row>
    <row r="24" spans="1:13" x14ac:dyDescent="0.25">
      <c r="A24" t="str">
        <f>Tabela1[[#This Row],[MÊS]]&amp;""&amp;Tabela1[[#This Row],[ANO]]</f>
        <v>SET2026</v>
      </c>
      <c r="B24" s="1">
        <v>2026</v>
      </c>
      <c r="C24" t="s">
        <v>105</v>
      </c>
      <c r="D24" s="1" t="s">
        <v>14</v>
      </c>
      <c r="E24" s="1" t="s">
        <v>29</v>
      </c>
      <c r="F24" s="1" t="s">
        <v>36</v>
      </c>
      <c r="G24" s="1" t="s">
        <v>82</v>
      </c>
      <c r="H24" t="s">
        <v>45</v>
      </c>
      <c r="I24" s="3">
        <v>4640</v>
      </c>
      <c r="J24" s="3">
        <v>5104</v>
      </c>
      <c r="K24" s="2">
        <v>464</v>
      </c>
      <c r="L24" s="2">
        <v>294.32642301814917</v>
      </c>
      <c r="M24" s="14">
        <v>0.63432418753911457</v>
      </c>
    </row>
    <row r="25" spans="1:13" x14ac:dyDescent="0.25">
      <c r="A25" t="str">
        <f>Tabela1[[#This Row],[MÊS]]&amp;""&amp;Tabela1[[#This Row],[ANO]]</f>
        <v>SET2026</v>
      </c>
      <c r="B25" s="1">
        <v>2026</v>
      </c>
      <c r="C25" t="s">
        <v>105</v>
      </c>
      <c r="D25" s="1" t="s">
        <v>14</v>
      </c>
      <c r="E25" s="1" t="s">
        <v>29</v>
      </c>
      <c r="F25" s="1" t="s">
        <v>39</v>
      </c>
      <c r="G25" s="1" t="s">
        <v>82</v>
      </c>
      <c r="H25" t="s">
        <v>38</v>
      </c>
      <c r="I25" s="3">
        <v>930</v>
      </c>
      <c r="J25" s="3">
        <v>4948</v>
      </c>
      <c r="K25" s="2">
        <v>4018</v>
      </c>
      <c r="L25" s="2">
        <v>3389.2345016867853</v>
      </c>
      <c r="M25" s="14">
        <v>0.84351281774185793</v>
      </c>
    </row>
    <row r="26" spans="1:13" x14ac:dyDescent="0.25">
      <c r="A26" t="str">
        <f>Tabela1[[#This Row],[MÊS]]&amp;""&amp;Tabela1[[#This Row],[ANO]]</f>
        <v>SET2026</v>
      </c>
      <c r="B26" s="1">
        <v>2026</v>
      </c>
      <c r="C26" t="s">
        <v>105</v>
      </c>
      <c r="D26" s="1" t="s">
        <v>14</v>
      </c>
      <c r="E26" s="1" t="s">
        <v>29</v>
      </c>
      <c r="F26" s="1" t="s">
        <v>39</v>
      </c>
      <c r="G26" s="1" t="s">
        <v>82</v>
      </c>
      <c r="H26" t="s">
        <v>46</v>
      </c>
      <c r="I26" s="3">
        <v>963</v>
      </c>
      <c r="J26" s="3">
        <v>2521</v>
      </c>
      <c r="K26" s="2">
        <v>1558</v>
      </c>
      <c r="L26" s="2">
        <v>1459.5943881115977</v>
      </c>
      <c r="M26" s="14">
        <v>0.93683850328087148</v>
      </c>
    </row>
    <row r="27" spans="1:13" x14ac:dyDescent="0.25">
      <c r="A27" t="str">
        <f>Tabela1[[#This Row],[MÊS]]&amp;""&amp;Tabela1[[#This Row],[ANO]]</f>
        <v>SET2026</v>
      </c>
      <c r="B27" s="1">
        <v>2026</v>
      </c>
      <c r="C27" t="s">
        <v>105</v>
      </c>
      <c r="D27" s="1" t="s">
        <v>14</v>
      </c>
      <c r="E27" s="1" t="s">
        <v>29</v>
      </c>
      <c r="F27" s="1" t="s">
        <v>30</v>
      </c>
      <c r="G27" s="1" t="s">
        <v>82</v>
      </c>
      <c r="H27" t="s">
        <v>37</v>
      </c>
      <c r="I27" s="3">
        <v>564</v>
      </c>
      <c r="J27" s="3">
        <v>11778</v>
      </c>
      <c r="K27" s="2">
        <v>11214</v>
      </c>
      <c r="L27" s="2">
        <v>8967.1725600675054</v>
      </c>
      <c r="M27" s="14">
        <v>0.79964085607878588</v>
      </c>
    </row>
    <row r="28" spans="1:13" x14ac:dyDescent="0.25">
      <c r="A28" t="str">
        <f>Tabela1[[#This Row],[MÊS]]&amp;""&amp;Tabela1[[#This Row],[ANO]]</f>
        <v>SET2026</v>
      </c>
      <c r="B28" s="1">
        <v>2026</v>
      </c>
      <c r="C28" t="s">
        <v>105</v>
      </c>
      <c r="D28" s="1" t="s">
        <v>14</v>
      </c>
      <c r="E28" s="1" t="s">
        <v>29</v>
      </c>
      <c r="F28" s="1" t="s">
        <v>30</v>
      </c>
      <c r="G28" s="1" t="s">
        <v>82</v>
      </c>
      <c r="H28" t="s">
        <v>44</v>
      </c>
      <c r="I28" s="3">
        <v>1165</v>
      </c>
      <c r="J28" s="3">
        <v>5150</v>
      </c>
      <c r="K28" s="2">
        <v>3985</v>
      </c>
      <c r="L28" s="2">
        <v>3162.5426549384424</v>
      </c>
      <c r="M28" s="14">
        <v>0.79361170763825406</v>
      </c>
    </row>
    <row r="29" spans="1:13" x14ac:dyDescent="0.25">
      <c r="A29" t="str">
        <f>Tabela1[[#This Row],[MÊS]]&amp;""&amp;Tabela1[[#This Row],[ANO]]</f>
        <v>SET2026</v>
      </c>
      <c r="B29" s="1">
        <v>2026</v>
      </c>
      <c r="C29" t="s">
        <v>105</v>
      </c>
      <c r="D29" s="1" t="s">
        <v>14</v>
      </c>
      <c r="E29" s="1" t="s">
        <v>25</v>
      </c>
      <c r="F29" s="1" t="s">
        <v>79</v>
      </c>
      <c r="G29" s="1" t="s">
        <v>82</v>
      </c>
      <c r="H29" t="s">
        <v>84</v>
      </c>
      <c r="I29" s="3">
        <v>846</v>
      </c>
      <c r="J29" s="3">
        <v>4200</v>
      </c>
      <c r="K29" s="2">
        <v>3354</v>
      </c>
      <c r="L29" s="2">
        <v>3228.4443195436475</v>
      </c>
      <c r="M29" s="14">
        <v>0.96256539044235168</v>
      </c>
    </row>
    <row r="30" spans="1:13" x14ac:dyDescent="0.25">
      <c r="A30" t="str">
        <f>Tabela1[[#This Row],[MÊS]]&amp;""&amp;Tabela1[[#This Row],[ANO]]</f>
        <v>SET2026</v>
      </c>
      <c r="B30" s="1">
        <v>2026</v>
      </c>
      <c r="C30" t="s">
        <v>105</v>
      </c>
      <c r="D30" s="1" t="s">
        <v>14</v>
      </c>
      <c r="E30" s="1" t="s">
        <v>29</v>
      </c>
      <c r="F30" s="1" t="s">
        <v>42</v>
      </c>
      <c r="G30" s="13">
        <v>200</v>
      </c>
      <c r="H30" s="7" t="s">
        <v>66</v>
      </c>
      <c r="I30" s="3">
        <v>3206</v>
      </c>
      <c r="J30" s="3">
        <v>4666</v>
      </c>
      <c r="K30" s="2">
        <v>1460</v>
      </c>
      <c r="L30" s="2">
        <v>1133.1617488472154</v>
      </c>
      <c r="M30" s="14">
        <v>0.77613818414192837</v>
      </c>
    </row>
    <row r="31" spans="1:13" x14ac:dyDescent="0.25">
      <c r="A31" t="str">
        <f>Tabela1[[#This Row],[MÊS]]&amp;""&amp;Tabela1[[#This Row],[ANO]]</f>
        <v>SET2026</v>
      </c>
      <c r="B31" s="1">
        <v>2026</v>
      </c>
      <c r="C31" t="s">
        <v>105</v>
      </c>
      <c r="D31" s="1" t="s">
        <v>14</v>
      </c>
      <c r="E31" s="1" t="s">
        <v>29</v>
      </c>
      <c r="F31" s="1" t="s">
        <v>42</v>
      </c>
      <c r="G31" s="13">
        <v>200</v>
      </c>
      <c r="H31" s="7" t="s">
        <v>70</v>
      </c>
      <c r="I31" s="3">
        <v>1756</v>
      </c>
      <c r="J31" s="3">
        <v>3081</v>
      </c>
      <c r="K31" s="2">
        <v>1325</v>
      </c>
      <c r="L31" s="2">
        <v>950.69961872513613</v>
      </c>
      <c r="M31" s="14">
        <v>0.71750914620764994</v>
      </c>
    </row>
    <row r="32" spans="1:13" x14ac:dyDescent="0.25">
      <c r="A32" t="str">
        <f>Tabela1[[#This Row],[MÊS]]&amp;""&amp;Tabela1[[#This Row],[ANO]]</f>
        <v>SET2026</v>
      </c>
      <c r="B32" s="1">
        <v>2026</v>
      </c>
      <c r="C32" t="s">
        <v>105</v>
      </c>
      <c r="D32" s="1" t="s">
        <v>14</v>
      </c>
      <c r="E32" s="1" t="s">
        <v>29</v>
      </c>
      <c r="F32" s="1" t="s">
        <v>42</v>
      </c>
      <c r="G32" s="13">
        <v>200</v>
      </c>
      <c r="H32" s="7" t="s">
        <v>72</v>
      </c>
      <c r="I32" s="3">
        <v>4028</v>
      </c>
      <c r="J32" s="3">
        <v>5328</v>
      </c>
      <c r="K32" s="2">
        <v>1300</v>
      </c>
      <c r="L32" s="2">
        <v>1011.3756155551067</v>
      </c>
      <c r="M32" s="14">
        <v>0.77798124273469749</v>
      </c>
    </row>
    <row r="33" spans="1:13" x14ac:dyDescent="0.25">
      <c r="A33" t="str">
        <f>Tabela1[[#This Row],[MÊS]]&amp;""&amp;Tabela1[[#This Row],[ANO]]</f>
        <v>SET2026</v>
      </c>
      <c r="B33" s="1">
        <v>2026</v>
      </c>
      <c r="C33" t="s">
        <v>105</v>
      </c>
      <c r="D33" s="1" t="s">
        <v>14</v>
      </c>
      <c r="E33" s="1" t="s">
        <v>29</v>
      </c>
      <c r="F33" s="1" t="s">
        <v>42</v>
      </c>
      <c r="G33" s="13">
        <v>200</v>
      </c>
      <c r="H33" s="7" t="s">
        <v>87</v>
      </c>
      <c r="I33" s="3">
        <v>3873</v>
      </c>
      <c r="J33" s="3">
        <v>4116</v>
      </c>
      <c r="K33" s="2">
        <v>243</v>
      </c>
      <c r="L33" s="2">
        <v>193.08237605374504</v>
      </c>
      <c r="M33" s="14">
        <v>0.79457767923351863</v>
      </c>
    </row>
    <row r="34" spans="1:13" x14ac:dyDescent="0.25">
      <c r="A34" t="str">
        <f>Tabela1[[#This Row],[MÊS]]&amp;""&amp;Tabela1[[#This Row],[ANO]]</f>
        <v>SET2026</v>
      </c>
      <c r="B34" s="1">
        <v>2026</v>
      </c>
      <c r="C34" t="s">
        <v>105</v>
      </c>
      <c r="D34" s="1" t="s">
        <v>14</v>
      </c>
      <c r="E34" s="1" t="s">
        <v>29</v>
      </c>
      <c r="F34" s="1" t="s">
        <v>42</v>
      </c>
      <c r="G34" s="13">
        <v>200</v>
      </c>
      <c r="H34" s="7" t="s">
        <v>65</v>
      </c>
      <c r="I34" s="3">
        <v>3731</v>
      </c>
      <c r="J34" s="3">
        <v>4486</v>
      </c>
      <c r="K34" s="2">
        <v>755</v>
      </c>
      <c r="L34" s="2">
        <v>654.17223224582096</v>
      </c>
      <c r="M34" s="14">
        <v>0.86645328774280927</v>
      </c>
    </row>
    <row r="35" spans="1:13" x14ac:dyDescent="0.25">
      <c r="A35" t="str">
        <f>Tabela1[[#This Row],[MÊS]]&amp;""&amp;Tabela1[[#This Row],[ANO]]</f>
        <v>SET2026</v>
      </c>
      <c r="B35" s="1">
        <v>2026</v>
      </c>
      <c r="C35" t="s">
        <v>105</v>
      </c>
      <c r="D35" s="1" t="s">
        <v>14</v>
      </c>
      <c r="E35" s="1" t="s">
        <v>29</v>
      </c>
      <c r="F35" s="1" t="s">
        <v>42</v>
      </c>
      <c r="G35" s="13">
        <v>200</v>
      </c>
      <c r="H35" s="7" t="s">
        <v>62</v>
      </c>
      <c r="I35" s="3">
        <v>2055</v>
      </c>
      <c r="J35" s="3">
        <v>3326</v>
      </c>
      <c r="K35" s="2">
        <v>1271</v>
      </c>
      <c r="L35" s="2">
        <v>1255.991529938485</v>
      </c>
      <c r="M35" s="14">
        <v>0.98819160498700631</v>
      </c>
    </row>
    <row r="36" spans="1:13" x14ac:dyDescent="0.25">
      <c r="A36" t="str">
        <f>Tabela1[[#This Row],[MÊS]]&amp;""&amp;Tabela1[[#This Row],[ANO]]</f>
        <v>SET2026</v>
      </c>
      <c r="B36" s="1">
        <v>2026</v>
      </c>
      <c r="C36" t="s">
        <v>105</v>
      </c>
      <c r="D36" s="1" t="s">
        <v>14</v>
      </c>
      <c r="E36" s="1" t="s">
        <v>29</v>
      </c>
      <c r="F36" s="1" t="s">
        <v>42</v>
      </c>
      <c r="G36" s="13">
        <v>200</v>
      </c>
      <c r="H36" s="7" t="s">
        <v>69</v>
      </c>
      <c r="I36" s="3">
        <v>0</v>
      </c>
      <c r="J36" s="3">
        <v>204</v>
      </c>
      <c r="K36" s="2">
        <v>204</v>
      </c>
      <c r="L36" s="2">
        <v>193.68338385990847</v>
      </c>
      <c r="M36" s="14">
        <v>0.94942835225445332</v>
      </c>
    </row>
    <row r="37" spans="1:13" x14ac:dyDescent="0.25">
      <c r="A37" t="str">
        <f>Tabela1[[#This Row],[MÊS]]&amp;""&amp;Tabela1[[#This Row],[ANO]]</f>
        <v>SET2026</v>
      </c>
      <c r="B37" s="1">
        <v>2026</v>
      </c>
      <c r="C37" t="s">
        <v>105</v>
      </c>
      <c r="D37" s="1" t="s">
        <v>14</v>
      </c>
      <c r="E37" s="1" t="s">
        <v>29</v>
      </c>
      <c r="F37" s="1" t="s">
        <v>42</v>
      </c>
      <c r="G37" s="13">
        <v>200</v>
      </c>
      <c r="H37" s="7" t="s">
        <v>68</v>
      </c>
      <c r="I37" s="3">
        <v>0</v>
      </c>
      <c r="J37" s="3">
        <v>383</v>
      </c>
      <c r="K37" s="2">
        <v>383</v>
      </c>
      <c r="L37" s="2">
        <v>277.75071803058597</v>
      </c>
      <c r="M37" s="14">
        <v>0.72519769720779625</v>
      </c>
    </row>
    <row r="38" spans="1:13" x14ac:dyDescent="0.25">
      <c r="A38" t="str">
        <f>Tabela1[[#This Row],[MÊS]]&amp;""&amp;Tabela1[[#This Row],[ANO]]</f>
        <v>SET2026</v>
      </c>
      <c r="B38" s="1">
        <v>2026</v>
      </c>
      <c r="C38" t="s">
        <v>105</v>
      </c>
      <c r="D38" s="1" t="s">
        <v>14</v>
      </c>
      <c r="E38" s="1" t="s">
        <v>29</v>
      </c>
      <c r="F38" s="1" t="s">
        <v>42</v>
      </c>
      <c r="G38" s="13">
        <v>200</v>
      </c>
      <c r="H38" s="7" t="s">
        <v>71</v>
      </c>
      <c r="I38" s="3">
        <v>0</v>
      </c>
      <c r="J38" s="3">
        <v>598</v>
      </c>
      <c r="K38" s="2">
        <v>598</v>
      </c>
      <c r="L38" s="2">
        <v>519.59079249705383</v>
      </c>
      <c r="M38" s="14">
        <v>0.86888092390811678</v>
      </c>
    </row>
    <row r="39" spans="1:13" ht="15.75" customHeight="1" x14ac:dyDescent="0.25">
      <c r="A39" t="str">
        <f>Tabela1[[#This Row],[MÊS]]&amp;""&amp;Tabela1[[#This Row],[ANO]]</f>
        <v>SET2026</v>
      </c>
      <c r="B39" s="1">
        <v>2026</v>
      </c>
      <c r="C39" t="s">
        <v>105</v>
      </c>
      <c r="D39" s="1" t="s">
        <v>14</v>
      </c>
      <c r="E39" s="1" t="s">
        <v>29</v>
      </c>
      <c r="F39" s="1" t="s">
        <v>42</v>
      </c>
      <c r="G39" s="13">
        <v>200</v>
      </c>
      <c r="H39" s="7" t="s">
        <v>89</v>
      </c>
      <c r="I39" s="3">
        <v>0</v>
      </c>
      <c r="J39" s="3">
        <v>836</v>
      </c>
      <c r="K39" s="2">
        <v>836</v>
      </c>
      <c r="L39" s="2">
        <v>664.48568160887748</v>
      </c>
      <c r="M39" s="14">
        <v>0.79483933206803525</v>
      </c>
    </row>
    <row r="40" spans="1:13" x14ac:dyDescent="0.25">
      <c r="A40" t="str">
        <f>Tabela1[[#This Row],[MÊS]]&amp;""&amp;Tabela1[[#This Row],[ANO]]</f>
        <v>SET2026</v>
      </c>
      <c r="B40" s="1">
        <v>2026</v>
      </c>
      <c r="C40" t="s">
        <v>105</v>
      </c>
      <c r="D40" s="1" t="s">
        <v>14</v>
      </c>
      <c r="E40" s="1" t="s">
        <v>29</v>
      </c>
      <c r="F40" s="1" t="s">
        <v>42</v>
      </c>
      <c r="G40" s="13">
        <v>200</v>
      </c>
      <c r="H40" s="7" t="s">
        <v>67</v>
      </c>
      <c r="I40" s="3">
        <v>0</v>
      </c>
      <c r="J40" s="3">
        <v>229</v>
      </c>
      <c r="K40" s="2">
        <v>229</v>
      </c>
      <c r="L40" s="2">
        <v>140.35581625040356</v>
      </c>
      <c r="M40" s="14">
        <v>0.612907494543247</v>
      </c>
    </row>
    <row r="41" spans="1:13" x14ac:dyDescent="0.25">
      <c r="A41" t="str">
        <f>Tabela1[[#This Row],[MÊS]]&amp;""&amp;Tabela1[[#This Row],[ANO]]</f>
        <v>SET2026</v>
      </c>
      <c r="B41" s="1">
        <v>2026</v>
      </c>
      <c r="C41" t="s">
        <v>105</v>
      </c>
      <c r="D41" s="1" t="s">
        <v>14</v>
      </c>
      <c r="E41" s="1" t="s">
        <v>29</v>
      </c>
      <c r="F41" s="1" t="s">
        <v>42</v>
      </c>
      <c r="G41" s="13">
        <v>200</v>
      </c>
      <c r="H41" s="7" t="s">
        <v>64</v>
      </c>
      <c r="I41" s="3">
        <v>0</v>
      </c>
      <c r="J41" s="3">
        <v>1424</v>
      </c>
      <c r="K41" s="2">
        <v>1424</v>
      </c>
      <c r="L41" s="2">
        <v>1156.4735447790022</v>
      </c>
      <c r="M41" s="14">
        <v>0.81213029829986105</v>
      </c>
    </row>
    <row r="42" spans="1:13" x14ac:dyDescent="0.25">
      <c r="A42" t="str">
        <f>Tabela1[[#This Row],[MÊS]]&amp;""&amp;Tabela1[[#This Row],[ANO]]</f>
        <v>SET2026</v>
      </c>
      <c r="B42" s="1">
        <v>2026</v>
      </c>
      <c r="C42" t="s">
        <v>105</v>
      </c>
      <c r="D42" s="1" t="s">
        <v>14</v>
      </c>
      <c r="E42" s="1" t="s">
        <v>25</v>
      </c>
      <c r="F42" s="1" t="s">
        <v>26</v>
      </c>
      <c r="G42" s="1">
        <v>250</v>
      </c>
      <c r="H42" t="s">
        <v>27</v>
      </c>
      <c r="I42" s="3">
        <v>25412</v>
      </c>
      <c r="J42" s="3">
        <v>90100</v>
      </c>
      <c r="K42" s="2">
        <v>64688</v>
      </c>
      <c r="L42" s="2">
        <v>53788.940959931839</v>
      </c>
      <c r="M42" s="14">
        <v>0.83151343309318326</v>
      </c>
    </row>
    <row r="43" spans="1:13" x14ac:dyDescent="0.25">
      <c r="A43" t="str">
        <f>Tabela1[[#This Row],[MÊS]]&amp;""&amp;Tabela1[[#This Row],[ANO]]</f>
        <v>SET2026</v>
      </c>
      <c r="B43" s="1">
        <v>2026</v>
      </c>
      <c r="C43" t="s">
        <v>105</v>
      </c>
      <c r="D43" s="1" t="s">
        <v>14</v>
      </c>
      <c r="E43" s="1" t="s">
        <v>25</v>
      </c>
      <c r="F43" s="1" t="s">
        <v>26</v>
      </c>
      <c r="G43" s="1">
        <v>250</v>
      </c>
      <c r="H43" t="s">
        <v>24</v>
      </c>
      <c r="I43" s="3">
        <v>4595</v>
      </c>
      <c r="J43" s="3">
        <v>9859</v>
      </c>
      <c r="K43" s="2">
        <v>5264</v>
      </c>
      <c r="L43" s="2">
        <v>4043.9098247021602</v>
      </c>
      <c r="M43" s="14">
        <v>0.76821995150117028</v>
      </c>
    </row>
    <row r="44" spans="1:13" x14ac:dyDescent="0.25">
      <c r="A44" t="str">
        <f>Tabela1[[#This Row],[MÊS]]&amp;""&amp;Tabela1[[#This Row],[ANO]]</f>
        <v>SET2026</v>
      </c>
      <c r="B44" s="1">
        <v>2026</v>
      </c>
      <c r="C44" t="s">
        <v>105</v>
      </c>
      <c r="D44" s="1" t="s">
        <v>14</v>
      </c>
      <c r="E44" s="1" t="s">
        <v>25</v>
      </c>
      <c r="F44" s="1" t="s">
        <v>26</v>
      </c>
      <c r="G44" s="1">
        <v>250</v>
      </c>
      <c r="H44" t="s">
        <v>90</v>
      </c>
      <c r="I44" s="3">
        <v>600</v>
      </c>
      <c r="J44" s="3">
        <v>5310</v>
      </c>
      <c r="K44" s="2">
        <v>4710</v>
      </c>
      <c r="L44" s="2">
        <v>2958.9973848759018</v>
      </c>
      <c r="M44" s="14">
        <v>0.6282372367040131</v>
      </c>
    </row>
    <row r="45" spans="1:13" x14ac:dyDescent="0.25">
      <c r="A45" t="str">
        <f>Tabela1[[#This Row],[MÊS]]&amp;""&amp;Tabela1[[#This Row],[ANO]]</f>
        <v>SET2026</v>
      </c>
      <c r="B45" s="1">
        <v>2026</v>
      </c>
      <c r="C45" t="s">
        <v>105</v>
      </c>
      <c r="D45" s="1" t="s">
        <v>14</v>
      </c>
      <c r="E45" s="1" t="s">
        <v>25</v>
      </c>
      <c r="F45" s="1" t="s">
        <v>26</v>
      </c>
      <c r="G45" s="1">
        <v>250</v>
      </c>
      <c r="H45" t="s">
        <v>77</v>
      </c>
      <c r="I45" s="3">
        <v>4577</v>
      </c>
      <c r="J45" s="3">
        <v>4484</v>
      </c>
      <c r="K45" s="2">
        <v>-93</v>
      </c>
      <c r="L45" s="2">
        <v>-90.390526824994765</v>
      </c>
      <c r="M45" s="14">
        <v>0.97194114865585768</v>
      </c>
    </row>
    <row r="46" spans="1:13" x14ac:dyDescent="0.25">
      <c r="A46" t="str">
        <f>Tabela1[[#This Row],[MÊS]]&amp;""&amp;Tabela1[[#This Row],[ANO]]</f>
        <v>SET2026</v>
      </c>
      <c r="B46" s="1">
        <v>2026</v>
      </c>
      <c r="C46" t="s">
        <v>105</v>
      </c>
      <c r="D46" s="1" t="s">
        <v>14</v>
      </c>
      <c r="E46" s="1" t="s">
        <v>25</v>
      </c>
      <c r="F46" s="1" t="s">
        <v>26</v>
      </c>
      <c r="G46" s="1">
        <v>250</v>
      </c>
      <c r="H46" t="s">
        <v>28</v>
      </c>
      <c r="I46" s="3">
        <v>2862</v>
      </c>
      <c r="J46" s="3">
        <v>9270</v>
      </c>
      <c r="K46" s="2">
        <v>6408</v>
      </c>
      <c r="L46" s="2">
        <v>6242.8762352912026</v>
      </c>
      <c r="M46" s="14">
        <v>0.97423162223645488</v>
      </c>
    </row>
    <row r="47" spans="1:13" x14ac:dyDescent="0.25">
      <c r="A47" t="str">
        <f>Tabela1[[#This Row],[MÊS]]&amp;""&amp;Tabela1[[#This Row],[ANO]]</f>
        <v>SET2026</v>
      </c>
      <c r="B47" s="1">
        <v>2026</v>
      </c>
      <c r="C47" t="s">
        <v>105</v>
      </c>
      <c r="D47" s="1" t="s">
        <v>14</v>
      </c>
      <c r="E47" s="1" t="s">
        <v>25</v>
      </c>
      <c r="F47" s="1" t="s">
        <v>26</v>
      </c>
      <c r="G47" s="1">
        <v>250</v>
      </c>
      <c r="H47" t="s">
        <v>31</v>
      </c>
      <c r="I47" s="3">
        <v>3832</v>
      </c>
      <c r="J47" s="3">
        <v>6084</v>
      </c>
      <c r="K47" s="2">
        <v>2252</v>
      </c>
      <c r="L47" s="2">
        <v>1491.4114251915148</v>
      </c>
      <c r="M47" s="14">
        <v>0.66226084599978452</v>
      </c>
    </row>
    <row r="48" spans="1:13" x14ac:dyDescent="0.25">
      <c r="A48" t="str">
        <f>Tabela1[[#This Row],[MÊS]]&amp;""&amp;Tabela1[[#This Row],[ANO]]</f>
        <v>SET2026</v>
      </c>
      <c r="B48" s="1">
        <v>2026</v>
      </c>
      <c r="C48" t="s">
        <v>105</v>
      </c>
      <c r="D48" s="1" t="s">
        <v>14</v>
      </c>
      <c r="E48" s="1" t="s">
        <v>25</v>
      </c>
      <c r="F48" s="1" t="s">
        <v>26</v>
      </c>
      <c r="G48" s="1">
        <v>250</v>
      </c>
      <c r="H48" t="s">
        <v>91</v>
      </c>
      <c r="I48" s="3">
        <v>712</v>
      </c>
      <c r="J48" s="3">
        <v>3068</v>
      </c>
      <c r="K48" s="2">
        <v>2356</v>
      </c>
      <c r="L48" s="2">
        <v>1597.2201834405039</v>
      </c>
      <c r="M48" s="14">
        <v>0.67793725952483186</v>
      </c>
    </row>
    <row r="49" spans="1:13" x14ac:dyDescent="0.25">
      <c r="A49" t="str">
        <f>Tabela1[[#This Row],[MÊS]]&amp;""&amp;Tabela1[[#This Row],[ANO]]</f>
        <v>SET2026</v>
      </c>
      <c r="B49" s="1">
        <v>2026</v>
      </c>
      <c r="C49" t="s">
        <v>105</v>
      </c>
      <c r="D49" s="1" t="s">
        <v>14</v>
      </c>
      <c r="E49" s="1" t="s">
        <v>25</v>
      </c>
      <c r="F49" s="1" t="s">
        <v>75</v>
      </c>
      <c r="G49" s="1">
        <v>250</v>
      </c>
      <c r="H49" t="s">
        <v>78</v>
      </c>
      <c r="I49" s="3">
        <v>2786</v>
      </c>
      <c r="J49" s="3">
        <v>6000</v>
      </c>
      <c r="K49" s="2">
        <v>3214</v>
      </c>
      <c r="L49" s="2">
        <v>2814.5106655749073</v>
      </c>
      <c r="M49" s="14">
        <v>0.87570338070158904</v>
      </c>
    </row>
    <row r="50" spans="1:13" x14ac:dyDescent="0.25">
      <c r="A50" t="str">
        <f>Tabela1[[#This Row],[MÊS]]&amp;""&amp;Tabela1[[#This Row],[ANO]]</f>
        <v>SET2026</v>
      </c>
      <c r="B50" s="1">
        <v>2026</v>
      </c>
      <c r="C50" t="s">
        <v>105</v>
      </c>
      <c r="D50" s="1" t="s">
        <v>14</v>
      </c>
      <c r="E50" s="1" t="s">
        <v>92</v>
      </c>
      <c r="F50" s="1" t="s">
        <v>80</v>
      </c>
      <c r="G50" s="1">
        <v>450</v>
      </c>
      <c r="H50" t="s">
        <v>93</v>
      </c>
      <c r="I50" s="3">
        <v>13294</v>
      </c>
      <c r="J50" s="3">
        <v>8689</v>
      </c>
      <c r="K50" s="2">
        <v>-4605</v>
      </c>
      <c r="L50" s="2">
        <v>-2777.4584745700481</v>
      </c>
      <c r="M50" s="14">
        <v>0.60313973389143283</v>
      </c>
    </row>
    <row r="51" spans="1:13" x14ac:dyDescent="0.25">
      <c r="A51" t="str">
        <f>Tabela1[[#This Row],[MÊS]]&amp;""&amp;Tabela1[[#This Row],[ANO]]</f>
        <v>SET2026</v>
      </c>
      <c r="B51" s="1">
        <v>2026</v>
      </c>
      <c r="C51" t="s">
        <v>105</v>
      </c>
      <c r="D51" s="1" t="s">
        <v>14</v>
      </c>
      <c r="E51" s="1" t="s">
        <v>83</v>
      </c>
      <c r="F51" s="1" t="s">
        <v>81</v>
      </c>
      <c r="G51" s="1">
        <v>270</v>
      </c>
      <c r="H51" t="s">
        <v>73</v>
      </c>
      <c r="I51" s="3">
        <v>4748</v>
      </c>
      <c r="J51" s="3">
        <v>11111</v>
      </c>
      <c r="K51" s="2">
        <v>6363</v>
      </c>
      <c r="L51" s="2">
        <v>6236.74385277687</v>
      </c>
      <c r="M51" s="14">
        <v>0.98015776406991517</v>
      </c>
    </row>
    <row r="52" spans="1:13" x14ac:dyDescent="0.25">
      <c r="A52" t="str">
        <f>Tabela1[[#This Row],[MÊS]]&amp;""&amp;Tabela1[[#This Row],[ANO]]</f>
        <v>SET2026</v>
      </c>
      <c r="B52" s="1">
        <v>2026</v>
      </c>
      <c r="C52" t="s">
        <v>105</v>
      </c>
      <c r="D52" s="1" t="s">
        <v>14</v>
      </c>
      <c r="E52" s="1" t="s">
        <v>83</v>
      </c>
      <c r="F52" s="1" t="s">
        <v>81</v>
      </c>
      <c r="G52" s="1">
        <v>270</v>
      </c>
      <c r="H52" t="s">
        <v>74</v>
      </c>
      <c r="I52" s="3">
        <v>4643</v>
      </c>
      <c r="J52" s="3">
        <v>9105</v>
      </c>
      <c r="K52" s="2">
        <v>4462</v>
      </c>
      <c r="L52" s="2">
        <v>4348.0450766109843</v>
      </c>
      <c r="M52" s="14">
        <v>0.9744610212037168</v>
      </c>
    </row>
    <row r="53" spans="1:13" x14ac:dyDescent="0.25">
      <c r="A53" t="str">
        <f>Tabela1[[#This Row],[MÊS]]&amp;""&amp;Tabela1[[#This Row],[ANO]]</f>
        <v>SET2026</v>
      </c>
      <c r="B53" s="1">
        <v>2026</v>
      </c>
      <c r="C53" t="s">
        <v>105</v>
      </c>
      <c r="D53" s="1" t="s">
        <v>14</v>
      </c>
      <c r="E53" s="1" t="s">
        <v>83</v>
      </c>
      <c r="F53" s="1" t="s">
        <v>81</v>
      </c>
      <c r="G53" s="1">
        <v>270</v>
      </c>
      <c r="H53" t="s">
        <v>76</v>
      </c>
      <c r="I53" s="3">
        <v>4352</v>
      </c>
      <c r="J53" s="3">
        <v>9548</v>
      </c>
      <c r="K53" s="2">
        <v>5196</v>
      </c>
      <c r="L53" s="2">
        <v>5016.8146215287998</v>
      </c>
      <c r="M53" s="14">
        <v>0.96551474625265588</v>
      </c>
    </row>
    <row r="54" spans="1:13" x14ac:dyDescent="0.25">
      <c r="A54" t="str">
        <f>Tabela1[[#This Row],[MÊS]]&amp;""&amp;Tabela1[[#This Row],[ANO]]</f>
        <v>SET2026</v>
      </c>
      <c r="B54" s="1">
        <v>2026</v>
      </c>
      <c r="C54" t="s">
        <v>105</v>
      </c>
      <c r="D54" s="1" t="s">
        <v>14</v>
      </c>
      <c r="E54" s="1" t="s">
        <v>29</v>
      </c>
      <c r="F54" s="1" t="s">
        <v>42</v>
      </c>
      <c r="G54" s="1">
        <v>500</v>
      </c>
      <c r="H54" t="s">
        <v>56</v>
      </c>
      <c r="I54" s="3">
        <v>568</v>
      </c>
      <c r="J54" s="3">
        <v>1378</v>
      </c>
      <c r="K54" s="2">
        <v>810</v>
      </c>
      <c r="L54" s="2">
        <v>725.67329419252121</v>
      </c>
      <c r="M54" s="14">
        <v>0.89589295579323602</v>
      </c>
    </row>
    <row r="55" spans="1:13" x14ac:dyDescent="0.25">
      <c r="A55" t="str">
        <f>Tabela1[[#This Row],[MÊS]]&amp;""&amp;Tabela1[[#This Row],[ANO]]</f>
        <v>SET2026</v>
      </c>
      <c r="B55" s="1">
        <v>2026</v>
      </c>
      <c r="C55" t="s">
        <v>105</v>
      </c>
      <c r="D55" s="1" t="s">
        <v>14</v>
      </c>
      <c r="E55" s="1" t="s">
        <v>29</v>
      </c>
      <c r="F55" s="1" t="s">
        <v>42</v>
      </c>
      <c r="G55" s="1">
        <v>500</v>
      </c>
      <c r="H55" t="s">
        <v>58</v>
      </c>
      <c r="I55" s="3">
        <v>1785</v>
      </c>
      <c r="J55" s="3">
        <v>3210</v>
      </c>
      <c r="K55" s="2">
        <v>1425</v>
      </c>
      <c r="L55" s="2">
        <v>1354.8793612135885</v>
      </c>
      <c r="M55" s="14">
        <v>0.95079253418497434</v>
      </c>
    </row>
    <row r="56" spans="1:13" x14ac:dyDescent="0.25">
      <c r="A56" t="str">
        <f>Tabela1[[#This Row],[MÊS]]&amp;""&amp;Tabela1[[#This Row],[ANO]]</f>
        <v>SET2026</v>
      </c>
      <c r="B56" s="1">
        <v>2026</v>
      </c>
      <c r="C56" t="s">
        <v>105</v>
      </c>
      <c r="D56" s="1" t="s">
        <v>14</v>
      </c>
      <c r="E56" s="1" t="s">
        <v>29</v>
      </c>
      <c r="F56" s="1" t="s">
        <v>42</v>
      </c>
      <c r="G56" s="1">
        <v>500</v>
      </c>
      <c r="H56" t="s">
        <v>61</v>
      </c>
      <c r="I56" s="3">
        <v>2553</v>
      </c>
      <c r="J56" s="3">
        <v>3565</v>
      </c>
      <c r="K56" s="2">
        <v>1012</v>
      </c>
      <c r="L56" s="2">
        <v>855.58760810710169</v>
      </c>
      <c r="M56" s="14">
        <v>0.84544230050108859</v>
      </c>
    </row>
    <row r="57" spans="1:13" x14ac:dyDescent="0.25">
      <c r="A57" t="str">
        <f>Tabela1[[#This Row],[MÊS]]&amp;""&amp;Tabela1[[#This Row],[ANO]]</f>
        <v>SET2026</v>
      </c>
      <c r="B57" s="1">
        <v>2026</v>
      </c>
      <c r="C57" t="s">
        <v>105</v>
      </c>
      <c r="D57" s="1" t="s">
        <v>14</v>
      </c>
      <c r="E57" s="1" t="s">
        <v>29</v>
      </c>
      <c r="F57" s="1" t="s">
        <v>42</v>
      </c>
      <c r="G57" s="1">
        <v>500</v>
      </c>
      <c r="H57" t="s">
        <v>60</v>
      </c>
      <c r="I57" s="3">
        <v>1201</v>
      </c>
      <c r="J57" s="3">
        <v>1565</v>
      </c>
      <c r="K57" s="2">
        <v>364</v>
      </c>
      <c r="L57" s="2">
        <v>264.43968901240339</v>
      </c>
      <c r="M57" s="14">
        <v>0.72648266212198731</v>
      </c>
    </row>
    <row r="58" spans="1:13" x14ac:dyDescent="0.25">
      <c r="A58" t="str">
        <f>Tabela1[[#This Row],[MÊS]]&amp;""&amp;Tabela1[[#This Row],[ANO]]</f>
        <v>SET2026</v>
      </c>
      <c r="B58" s="1">
        <v>2026</v>
      </c>
      <c r="C58" t="s">
        <v>105</v>
      </c>
      <c r="D58" s="1" t="s">
        <v>14</v>
      </c>
      <c r="E58" s="1" t="s">
        <v>29</v>
      </c>
      <c r="F58" s="1" t="s">
        <v>42</v>
      </c>
      <c r="G58" s="1">
        <v>500</v>
      </c>
      <c r="H58" s="7" t="s">
        <v>55</v>
      </c>
      <c r="I58" s="3">
        <v>3548</v>
      </c>
      <c r="J58" s="3">
        <v>4341</v>
      </c>
      <c r="K58" s="2">
        <v>793</v>
      </c>
      <c r="L58" s="2">
        <v>511.94960243416989</v>
      </c>
      <c r="M58" s="14">
        <v>0.64558587948823443</v>
      </c>
    </row>
    <row r="59" spans="1:13" x14ac:dyDescent="0.25">
      <c r="A59" t="str">
        <f>Tabela1[[#This Row],[MÊS]]&amp;""&amp;Tabela1[[#This Row],[ANO]]</f>
        <v>SET2026</v>
      </c>
      <c r="B59" s="1">
        <v>2026</v>
      </c>
      <c r="C59" t="s">
        <v>105</v>
      </c>
      <c r="D59" s="1" t="s">
        <v>14</v>
      </c>
      <c r="E59" s="1" t="s">
        <v>29</v>
      </c>
      <c r="F59" s="1" t="s">
        <v>42</v>
      </c>
      <c r="G59" s="1">
        <v>500</v>
      </c>
      <c r="H59" s="7" t="s">
        <v>57</v>
      </c>
      <c r="I59" s="3">
        <v>2870</v>
      </c>
      <c r="J59" s="3">
        <v>4220</v>
      </c>
      <c r="K59" s="2">
        <v>1350</v>
      </c>
      <c r="L59" s="2">
        <v>1066.6457066024568</v>
      </c>
      <c r="M59" s="14">
        <v>0.79010793081663466</v>
      </c>
    </row>
    <row r="60" spans="1:13" x14ac:dyDescent="0.25">
      <c r="A60" t="str">
        <f>Tabela1[[#This Row],[MÊS]]&amp;""&amp;Tabela1[[#This Row],[ANO]]</f>
        <v>SET2026</v>
      </c>
      <c r="B60" s="1">
        <v>2026</v>
      </c>
      <c r="C60" t="s">
        <v>105</v>
      </c>
      <c r="D60" s="1" t="s">
        <v>14</v>
      </c>
      <c r="E60" s="1" t="s">
        <v>29</v>
      </c>
      <c r="F60" s="1" t="s">
        <v>42</v>
      </c>
      <c r="G60" s="1">
        <v>500</v>
      </c>
      <c r="H60" s="7" t="s">
        <v>63</v>
      </c>
      <c r="I60" s="3">
        <v>4366</v>
      </c>
      <c r="J60" s="3">
        <v>4790</v>
      </c>
      <c r="K60" s="2">
        <v>424</v>
      </c>
      <c r="L60" s="2">
        <v>336.39025314895514</v>
      </c>
      <c r="M60" s="14">
        <v>0.79337323855885644</v>
      </c>
    </row>
    <row r="61" spans="1:13" x14ac:dyDescent="0.25">
      <c r="A61" t="str">
        <f>Tabela1[[#This Row],[MÊS]]&amp;""&amp;Tabela1[[#This Row],[ANO]]</f>
        <v>SET2026</v>
      </c>
      <c r="B61" s="1">
        <v>2026</v>
      </c>
      <c r="C61" t="s">
        <v>105</v>
      </c>
      <c r="D61" s="1" t="s">
        <v>14</v>
      </c>
      <c r="E61" s="1" t="s">
        <v>29</v>
      </c>
      <c r="F61" s="1" t="s">
        <v>42</v>
      </c>
      <c r="G61" s="1">
        <v>500</v>
      </c>
      <c r="H61" s="7" t="s">
        <v>59</v>
      </c>
      <c r="I61" s="3">
        <v>3323</v>
      </c>
      <c r="J61" s="3">
        <v>4765</v>
      </c>
      <c r="K61" s="2">
        <v>1442</v>
      </c>
      <c r="L61" s="2">
        <v>911.81361941234525</v>
      </c>
      <c r="M61" s="14">
        <v>0.63232567226931014</v>
      </c>
    </row>
    <row r="62" spans="1:13" x14ac:dyDescent="0.25">
      <c r="A62" t="str">
        <f>Tabela1[[#This Row],[MÊS]]&amp;""&amp;Tabela1[[#This Row],[ANO]]</f>
        <v>SET2026</v>
      </c>
      <c r="B62" s="1">
        <v>2026</v>
      </c>
      <c r="C62" t="s">
        <v>105</v>
      </c>
      <c r="D62" s="1" t="s">
        <v>94</v>
      </c>
      <c r="E62" s="1" t="s">
        <v>29</v>
      </c>
      <c r="F62" s="1" t="s">
        <v>42</v>
      </c>
      <c r="G62" s="13">
        <v>200</v>
      </c>
      <c r="H62" s="7" t="s">
        <v>62</v>
      </c>
      <c r="I62" s="3">
        <v>4189</v>
      </c>
      <c r="J62" s="3">
        <v>5122</v>
      </c>
      <c r="K62" s="2">
        <v>933</v>
      </c>
      <c r="L62" s="2">
        <v>906.73934982488606</v>
      </c>
      <c r="M62" s="14">
        <v>0.97185353678980291</v>
      </c>
    </row>
    <row r="63" spans="1:13" x14ac:dyDescent="0.25">
      <c r="A63" t="str">
        <f>Tabela1[[#This Row],[MÊS]]&amp;""&amp;Tabela1[[#This Row],[ANO]]</f>
        <v>SET2026</v>
      </c>
      <c r="B63" s="1">
        <v>2026</v>
      </c>
      <c r="C63" t="s">
        <v>105</v>
      </c>
      <c r="D63" s="1" t="s">
        <v>94</v>
      </c>
      <c r="E63" s="1" t="s">
        <v>29</v>
      </c>
      <c r="F63" s="1" t="s">
        <v>42</v>
      </c>
      <c r="G63" s="13">
        <v>200</v>
      </c>
      <c r="H63" s="7" t="s">
        <v>70</v>
      </c>
      <c r="I63" s="3">
        <v>3090</v>
      </c>
      <c r="J63" s="3">
        <v>3501</v>
      </c>
      <c r="K63" s="2">
        <v>411</v>
      </c>
      <c r="L63" s="2">
        <v>403.75498252806182</v>
      </c>
      <c r="M63" s="14">
        <v>0.98237222026292415</v>
      </c>
    </row>
    <row r="64" spans="1:13" x14ac:dyDescent="0.25">
      <c r="A64" t="str">
        <f>Tabela1[[#This Row],[MÊS]]&amp;""&amp;Tabela1[[#This Row],[ANO]]</f>
        <v>SET2026</v>
      </c>
      <c r="B64" s="1">
        <v>2026</v>
      </c>
      <c r="C64" t="s">
        <v>105</v>
      </c>
      <c r="D64" s="1" t="s">
        <v>94</v>
      </c>
      <c r="E64" s="1" t="s">
        <v>29</v>
      </c>
      <c r="F64" s="1" t="s">
        <v>42</v>
      </c>
      <c r="G64" s="1">
        <v>200</v>
      </c>
      <c r="H64" s="7" t="s">
        <v>86</v>
      </c>
      <c r="I64" s="3">
        <v>1141</v>
      </c>
      <c r="J64" s="3">
        <v>1775</v>
      </c>
      <c r="K64" s="2">
        <v>634</v>
      </c>
      <c r="L64" s="2">
        <v>614.41652586456576</v>
      </c>
      <c r="M64" s="14">
        <v>0.96911123953401535</v>
      </c>
    </row>
    <row r="65" spans="1:13" x14ac:dyDescent="0.25">
      <c r="A65" t="str">
        <f>Tabela1[[#This Row],[MÊS]]&amp;""&amp;Tabela1[[#This Row],[ANO]]</f>
        <v>SET2026</v>
      </c>
      <c r="B65" s="1">
        <v>2026</v>
      </c>
      <c r="C65" t="s">
        <v>105</v>
      </c>
      <c r="D65" s="1" t="s">
        <v>94</v>
      </c>
      <c r="E65" s="1" t="s">
        <v>29</v>
      </c>
      <c r="F65" s="1" t="s">
        <v>42</v>
      </c>
      <c r="G65" s="13">
        <v>200</v>
      </c>
      <c r="H65" s="7" t="s">
        <v>65</v>
      </c>
      <c r="I65" s="3">
        <v>4760</v>
      </c>
      <c r="J65" s="3">
        <v>5687</v>
      </c>
      <c r="K65" s="2">
        <v>927</v>
      </c>
      <c r="L65" s="2">
        <v>830.88115600374988</v>
      </c>
      <c r="M65" s="14">
        <v>0.89631192664913684</v>
      </c>
    </row>
    <row r="66" spans="1:13" x14ac:dyDescent="0.25">
      <c r="A66" t="str">
        <f>Tabela1[[#This Row],[MÊS]]&amp;""&amp;Tabela1[[#This Row],[ANO]]</f>
        <v>SET2026</v>
      </c>
      <c r="B66" s="1">
        <v>2026</v>
      </c>
      <c r="C66" t="s">
        <v>105</v>
      </c>
      <c r="D66" s="1" t="s">
        <v>94</v>
      </c>
      <c r="E66" s="1" t="s">
        <v>29</v>
      </c>
      <c r="F66" s="1" t="s">
        <v>42</v>
      </c>
      <c r="G66" s="13">
        <v>200</v>
      </c>
      <c r="H66" s="7" t="s">
        <v>66</v>
      </c>
      <c r="I66" s="3">
        <v>3578</v>
      </c>
      <c r="J66" s="3">
        <v>4394</v>
      </c>
      <c r="K66" s="2">
        <v>816</v>
      </c>
      <c r="L66" s="2">
        <v>496.75621429131024</v>
      </c>
      <c r="M66" s="14">
        <v>0.60876987045503705</v>
      </c>
    </row>
    <row r="67" spans="1:13" x14ac:dyDescent="0.25">
      <c r="A67" t="str">
        <f>Tabela1[[#This Row],[MÊS]]&amp;""&amp;Tabela1[[#This Row],[ANO]]</f>
        <v>SET2026</v>
      </c>
      <c r="B67" s="1">
        <v>2026</v>
      </c>
      <c r="C67" t="s">
        <v>105</v>
      </c>
      <c r="D67" s="1" t="s">
        <v>94</v>
      </c>
      <c r="E67" s="1" t="s">
        <v>29</v>
      </c>
      <c r="F67" s="1" t="s">
        <v>42</v>
      </c>
      <c r="G67" s="13">
        <v>200</v>
      </c>
      <c r="H67" s="7" t="s">
        <v>72</v>
      </c>
      <c r="I67" s="3">
        <v>5289</v>
      </c>
      <c r="J67" s="3">
        <v>5650</v>
      </c>
      <c r="K67" s="2">
        <v>361</v>
      </c>
      <c r="L67" s="2">
        <v>282.27778335803873</v>
      </c>
      <c r="M67" s="14">
        <v>0.78193291788930397</v>
      </c>
    </row>
    <row r="68" spans="1:13" x14ac:dyDescent="0.25">
      <c r="A68" t="str">
        <f>Tabela1[[#This Row],[MÊS]]&amp;""&amp;Tabela1[[#This Row],[ANO]]</f>
        <v>SET2026</v>
      </c>
      <c r="B68" s="1">
        <v>2026</v>
      </c>
      <c r="C68" t="s">
        <v>105</v>
      </c>
      <c r="D68" s="1" t="s">
        <v>94</v>
      </c>
      <c r="E68" s="1" t="s">
        <v>29</v>
      </c>
      <c r="F68" s="1" t="s">
        <v>42</v>
      </c>
      <c r="G68" s="13">
        <v>200</v>
      </c>
      <c r="H68" s="7" t="s">
        <v>87</v>
      </c>
      <c r="I68" s="3">
        <v>4711</v>
      </c>
      <c r="J68" s="3">
        <v>4924</v>
      </c>
      <c r="K68" s="2">
        <v>213</v>
      </c>
      <c r="L68" s="2">
        <v>191.36580436733328</v>
      </c>
      <c r="M68" s="14">
        <v>0.8984310064194051</v>
      </c>
    </row>
    <row r="69" spans="1:13" x14ac:dyDescent="0.25">
      <c r="A69" t="str">
        <f>Tabela1[[#This Row],[MÊS]]&amp;""&amp;Tabela1[[#This Row],[ANO]]</f>
        <v>SET2026</v>
      </c>
      <c r="B69" s="1">
        <v>2026</v>
      </c>
      <c r="C69" t="s">
        <v>105</v>
      </c>
      <c r="D69" s="1" t="s">
        <v>94</v>
      </c>
      <c r="E69" s="1" t="s">
        <v>29</v>
      </c>
      <c r="F69" s="1" t="s">
        <v>42</v>
      </c>
      <c r="G69" s="13">
        <v>200</v>
      </c>
      <c r="H69" s="7" t="s">
        <v>64</v>
      </c>
      <c r="I69" s="3">
        <v>5415</v>
      </c>
      <c r="J69" s="3">
        <v>5905</v>
      </c>
      <c r="K69" s="2">
        <v>490</v>
      </c>
      <c r="L69" s="2">
        <v>303.83173728358622</v>
      </c>
      <c r="M69" s="14">
        <v>0.6200647699665025</v>
      </c>
    </row>
    <row r="70" spans="1:13" x14ac:dyDescent="0.25">
      <c r="A70" t="str">
        <f>Tabela1[[#This Row],[MÊS]]&amp;""&amp;Tabela1[[#This Row],[ANO]]</f>
        <v>SET2026</v>
      </c>
      <c r="B70" s="1">
        <v>2026</v>
      </c>
      <c r="C70" t="s">
        <v>105</v>
      </c>
      <c r="D70" s="1" t="s">
        <v>94</v>
      </c>
      <c r="E70" s="1" t="s">
        <v>29</v>
      </c>
      <c r="F70" s="1" t="s">
        <v>42</v>
      </c>
      <c r="G70" s="13">
        <v>200</v>
      </c>
      <c r="H70" s="7" t="s">
        <v>68</v>
      </c>
      <c r="I70" s="3">
        <v>3433</v>
      </c>
      <c r="J70" s="3">
        <v>3791</v>
      </c>
      <c r="K70" s="2">
        <v>358</v>
      </c>
      <c r="L70" s="2">
        <v>251.09829357742029</v>
      </c>
      <c r="M70" s="14">
        <v>0.70139188150117404</v>
      </c>
    </row>
    <row r="71" spans="1:13" x14ac:dyDescent="0.25">
      <c r="A71" t="str">
        <f>Tabela1[[#This Row],[MÊS]]&amp;""&amp;Tabela1[[#This Row],[ANO]]</f>
        <v>SET2026</v>
      </c>
      <c r="B71" s="1">
        <v>2026</v>
      </c>
      <c r="C71" t="s">
        <v>105</v>
      </c>
      <c r="D71" s="1" t="s">
        <v>94</v>
      </c>
      <c r="E71" s="1" t="s">
        <v>29</v>
      </c>
      <c r="F71" s="1" t="s">
        <v>42</v>
      </c>
      <c r="G71" s="1">
        <v>200</v>
      </c>
      <c r="H71" s="7" t="s">
        <v>88</v>
      </c>
      <c r="I71" s="3">
        <v>5251</v>
      </c>
      <c r="J71" s="3">
        <v>6709</v>
      </c>
      <c r="K71" s="2">
        <v>1458</v>
      </c>
      <c r="L71" s="2">
        <v>1094.7288251807925</v>
      </c>
      <c r="M71" s="14">
        <v>0.75084281562468613</v>
      </c>
    </row>
    <row r="72" spans="1:13" x14ac:dyDescent="0.25">
      <c r="A72" t="str">
        <f>Tabela1[[#This Row],[MÊS]]&amp;""&amp;Tabela1[[#This Row],[ANO]]</f>
        <v>SET2026</v>
      </c>
      <c r="B72" s="1">
        <v>2026</v>
      </c>
      <c r="C72" t="s">
        <v>105</v>
      </c>
      <c r="D72" s="1" t="s">
        <v>94</v>
      </c>
      <c r="E72" s="1" t="s">
        <v>29</v>
      </c>
      <c r="F72" s="1" t="s">
        <v>42</v>
      </c>
      <c r="G72" s="13">
        <v>200</v>
      </c>
      <c r="H72" s="7" t="s">
        <v>67</v>
      </c>
      <c r="I72" s="3">
        <v>1270</v>
      </c>
      <c r="J72" s="3">
        <v>2340</v>
      </c>
      <c r="K72" s="2">
        <v>1070</v>
      </c>
      <c r="L72" s="2">
        <v>967.88447857326878</v>
      </c>
      <c r="M72" s="14">
        <v>0.90456493324604559</v>
      </c>
    </row>
    <row r="73" spans="1:13" x14ac:dyDescent="0.25">
      <c r="A73" t="str">
        <f>Tabela1[[#This Row],[MÊS]]&amp;""&amp;Tabela1[[#This Row],[ANO]]</f>
        <v>SET2026</v>
      </c>
      <c r="B73" s="1">
        <v>2026</v>
      </c>
      <c r="C73" t="s">
        <v>105</v>
      </c>
      <c r="D73" s="1" t="s">
        <v>94</v>
      </c>
      <c r="E73" s="1" t="s">
        <v>29</v>
      </c>
      <c r="F73" s="1" t="s">
        <v>42</v>
      </c>
      <c r="G73" s="13">
        <v>200</v>
      </c>
      <c r="H73" s="7" t="s">
        <v>69</v>
      </c>
      <c r="I73" s="3">
        <v>1330</v>
      </c>
      <c r="J73" s="3">
        <v>2192</v>
      </c>
      <c r="K73" s="2">
        <v>862</v>
      </c>
      <c r="L73" s="2">
        <v>713.57093841601909</v>
      </c>
      <c r="M73" s="14">
        <v>0.82780851324364169</v>
      </c>
    </row>
    <row r="74" spans="1:13" x14ac:dyDescent="0.25">
      <c r="A74" t="str">
        <f>Tabela1[[#This Row],[MÊS]]&amp;""&amp;Tabela1[[#This Row],[ANO]]</f>
        <v>SET2026</v>
      </c>
      <c r="B74" s="1">
        <v>2026</v>
      </c>
      <c r="C74" t="s">
        <v>105</v>
      </c>
      <c r="D74" s="1" t="s">
        <v>94</v>
      </c>
      <c r="E74" s="1" t="s">
        <v>29</v>
      </c>
      <c r="F74" s="1" t="s">
        <v>42</v>
      </c>
      <c r="G74" s="13">
        <v>200</v>
      </c>
      <c r="H74" s="7" t="s">
        <v>71</v>
      </c>
      <c r="I74" s="3">
        <v>5127</v>
      </c>
      <c r="J74" s="3">
        <v>6163</v>
      </c>
      <c r="K74" s="2">
        <v>1036</v>
      </c>
      <c r="L74" s="2">
        <v>786.91551836087137</v>
      </c>
      <c r="M74" s="14">
        <v>0.75957096366879473</v>
      </c>
    </row>
    <row r="75" spans="1:13" x14ac:dyDescent="0.25">
      <c r="A75" t="str">
        <f>Tabela1[[#This Row],[MÊS]]&amp;""&amp;Tabela1[[#This Row],[ANO]]</f>
        <v>SET2026</v>
      </c>
      <c r="B75" s="1">
        <v>2026</v>
      </c>
      <c r="C75" t="s">
        <v>105</v>
      </c>
      <c r="D75" s="1" t="s">
        <v>94</v>
      </c>
      <c r="E75" s="1" t="s">
        <v>29</v>
      </c>
      <c r="F75" s="1" t="s">
        <v>42</v>
      </c>
      <c r="G75" s="13">
        <v>200</v>
      </c>
      <c r="H75" s="7" t="s">
        <v>89</v>
      </c>
      <c r="I75" s="3">
        <v>4300</v>
      </c>
      <c r="J75" s="3">
        <v>5675</v>
      </c>
      <c r="K75" s="2">
        <v>1375</v>
      </c>
      <c r="L75" s="2">
        <v>1304.3851468227108</v>
      </c>
      <c r="M75" s="14">
        <v>0.94864374314378963</v>
      </c>
    </row>
    <row r="76" spans="1:13" x14ac:dyDescent="0.25">
      <c r="A76" t="str">
        <f>Tabela1[[#This Row],[MÊS]]&amp;""&amp;Tabela1[[#This Row],[ANO]]</f>
        <v>SET2026</v>
      </c>
      <c r="B76" s="1">
        <v>2026</v>
      </c>
      <c r="C76" t="s">
        <v>105</v>
      </c>
      <c r="D76" s="1" t="s">
        <v>94</v>
      </c>
      <c r="E76" s="1" t="s">
        <v>29</v>
      </c>
      <c r="F76" s="1" t="s">
        <v>42</v>
      </c>
      <c r="G76" s="13" t="s">
        <v>82</v>
      </c>
      <c r="H76" s="7" t="s">
        <v>52</v>
      </c>
      <c r="I76" s="3">
        <v>4331</v>
      </c>
      <c r="J76" s="3">
        <v>5396</v>
      </c>
      <c r="K76" s="2">
        <v>1065</v>
      </c>
      <c r="L76" s="2">
        <v>825.33974416542424</v>
      </c>
      <c r="M76" s="14">
        <v>0.77496689592997581</v>
      </c>
    </row>
    <row r="77" spans="1:13" x14ac:dyDescent="0.25">
      <c r="A77" t="str">
        <f>Tabela1[[#This Row],[MÊS]]&amp;""&amp;Tabela1[[#This Row],[ANO]]</f>
        <v>SET2026</v>
      </c>
      <c r="B77" s="1">
        <v>2026</v>
      </c>
      <c r="C77" t="s">
        <v>105</v>
      </c>
      <c r="D77" s="1" t="s">
        <v>94</v>
      </c>
      <c r="E77" s="1" t="s">
        <v>29</v>
      </c>
      <c r="F77" s="1" t="s">
        <v>42</v>
      </c>
      <c r="G77" s="1" t="s">
        <v>82</v>
      </c>
      <c r="H77" s="7" t="s">
        <v>47</v>
      </c>
      <c r="I77" s="3">
        <v>2691</v>
      </c>
      <c r="J77" s="3">
        <v>3711</v>
      </c>
      <c r="K77" s="2">
        <v>1020</v>
      </c>
      <c r="L77" s="2">
        <v>922.57008106232138</v>
      </c>
      <c r="M77" s="14">
        <v>0.90448047162972689</v>
      </c>
    </row>
    <row r="78" spans="1:13" x14ac:dyDescent="0.25">
      <c r="A78" t="str">
        <f>Tabela1[[#This Row],[MÊS]]&amp;""&amp;Tabela1[[#This Row],[ANO]]</f>
        <v>SET2026</v>
      </c>
      <c r="B78" s="1">
        <v>2026</v>
      </c>
      <c r="C78" t="s">
        <v>105</v>
      </c>
      <c r="D78" s="1" t="s">
        <v>94</v>
      </c>
      <c r="E78" s="1" t="s">
        <v>29</v>
      </c>
      <c r="F78" s="1" t="s">
        <v>42</v>
      </c>
      <c r="G78" s="13" t="s">
        <v>82</v>
      </c>
      <c r="H78" s="7" t="s">
        <v>53</v>
      </c>
      <c r="I78" s="3">
        <v>660</v>
      </c>
      <c r="J78" s="3">
        <v>816</v>
      </c>
      <c r="K78" s="2">
        <v>156</v>
      </c>
      <c r="L78" s="2">
        <v>132.48711446781593</v>
      </c>
      <c r="M78" s="14">
        <v>0.84927637479369189</v>
      </c>
    </row>
    <row r="79" spans="1:13" x14ac:dyDescent="0.25">
      <c r="A79" t="str">
        <f>Tabela1[[#This Row],[MÊS]]&amp;""&amp;Tabela1[[#This Row],[ANO]]</f>
        <v>SET2026</v>
      </c>
      <c r="B79" s="1">
        <v>2026</v>
      </c>
      <c r="C79" t="s">
        <v>105</v>
      </c>
      <c r="D79" s="1" t="s">
        <v>94</v>
      </c>
      <c r="E79" s="1" t="s">
        <v>29</v>
      </c>
      <c r="F79" s="1" t="s">
        <v>42</v>
      </c>
      <c r="G79" s="13" t="s">
        <v>82</v>
      </c>
      <c r="H79" s="7" t="s">
        <v>48</v>
      </c>
      <c r="I79" s="3">
        <v>4569</v>
      </c>
      <c r="J79" s="3">
        <v>5164</v>
      </c>
      <c r="K79" s="2">
        <v>595</v>
      </c>
      <c r="L79" s="2">
        <v>440.58742106502928</v>
      </c>
      <c r="M79" s="14">
        <v>0.74048306061349456</v>
      </c>
    </row>
    <row r="80" spans="1:13" x14ac:dyDescent="0.25">
      <c r="A80" t="str">
        <f>Tabela1[[#This Row],[MÊS]]&amp;""&amp;Tabela1[[#This Row],[ANO]]</f>
        <v>SET2026</v>
      </c>
      <c r="B80" s="1">
        <v>2026</v>
      </c>
      <c r="C80" t="s">
        <v>105</v>
      </c>
      <c r="D80" s="1" t="s">
        <v>94</v>
      </c>
      <c r="E80" s="1" t="s">
        <v>29</v>
      </c>
      <c r="F80" s="1" t="s">
        <v>42</v>
      </c>
      <c r="G80" s="13" t="s">
        <v>82</v>
      </c>
      <c r="H80" s="7" t="s">
        <v>49</v>
      </c>
      <c r="I80" s="3">
        <v>631</v>
      </c>
      <c r="J80" s="3">
        <v>1245</v>
      </c>
      <c r="K80" s="2">
        <v>614</v>
      </c>
      <c r="L80" s="2">
        <v>546.58812385359874</v>
      </c>
      <c r="M80" s="14">
        <v>0.89020867077133348</v>
      </c>
    </row>
    <row r="81" spans="1:13" x14ac:dyDescent="0.25">
      <c r="A81" t="str">
        <f>Tabela1[[#This Row],[MÊS]]&amp;""&amp;Tabela1[[#This Row],[ANO]]</f>
        <v>SET2026</v>
      </c>
      <c r="B81" s="1">
        <v>2026</v>
      </c>
      <c r="C81" t="s">
        <v>105</v>
      </c>
      <c r="D81" s="1" t="s">
        <v>94</v>
      </c>
      <c r="E81" s="1" t="s">
        <v>29</v>
      </c>
      <c r="F81" s="1" t="s">
        <v>36</v>
      </c>
      <c r="G81" s="1" t="s">
        <v>82</v>
      </c>
      <c r="H81" s="7" t="s">
        <v>35</v>
      </c>
      <c r="I81" s="3">
        <v>1224</v>
      </c>
      <c r="J81" s="3">
        <v>1889</v>
      </c>
      <c r="K81" s="2">
        <v>665</v>
      </c>
      <c r="L81" s="2">
        <v>578.07454845125585</v>
      </c>
      <c r="M81" s="14">
        <v>0.86928503526504641</v>
      </c>
    </row>
    <row r="82" spans="1:13" x14ac:dyDescent="0.25">
      <c r="A82" t="str">
        <f>Tabela1[[#This Row],[MÊS]]&amp;""&amp;Tabela1[[#This Row],[ANO]]</f>
        <v>SET2026</v>
      </c>
      <c r="B82" s="1">
        <v>2026</v>
      </c>
      <c r="C82" t="s">
        <v>105</v>
      </c>
      <c r="D82" s="1" t="s">
        <v>94</v>
      </c>
      <c r="E82" s="1" t="s">
        <v>29</v>
      </c>
      <c r="F82" s="1" t="s">
        <v>39</v>
      </c>
      <c r="G82" s="1" t="s">
        <v>82</v>
      </c>
      <c r="H82" s="7" t="s">
        <v>38</v>
      </c>
      <c r="I82" s="3">
        <v>2763</v>
      </c>
      <c r="J82" s="3">
        <v>4086</v>
      </c>
      <c r="K82" s="2">
        <v>1323</v>
      </c>
      <c r="L82" s="2">
        <v>1088.2793143762597</v>
      </c>
      <c r="M82" s="14">
        <v>0.82258451577948577</v>
      </c>
    </row>
    <row r="83" spans="1:13" x14ac:dyDescent="0.25">
      <c r="A83" t="str">
        <f>Tabela1[[#This Row],[MÊS]]&amp;""&amp;Tabela1[[#This Row],[ANO]]</f>
        <v>SET2026</v>
      </c>
      <c r="B83" s="1">
        <v>2026</v>
      </c>
      <c r="C83" t="s">
        <v>105</v>
      </c>
      <c r="D83" s="1" t="s">
        <v>94</v>
      </c>
      <c r="E83" s="1" t="s">
        <v>29</v>
      </c>
      <c r="F83" s="1" t="s">
        <v>30</v>
      </c>
      <c r="G83" s="1" t="s">
        <v>82</v>
      </c>
      <c r="H83" s="7" t="s">
        <v>37</v>
      </c>
      <c r="I83" s="3">
        <v>662</v>
      </c>
      <c r="J83" s="3">
        <v>948</v>
      </c>
      <c r="K83" s="2">
        <v>286</v>
      </c>
      <c r="L83" s="2">
        <v>222.84275133901494</v>
      </c>
      <c r="M83" s="14">
        <v>0.77917045922732497</v>
      </c>
    </row>
    <row r="84" spans="1:13" x14ac:dyDescent="0.25">
      <c r="A84" t="str">
        <f>Tabela1[[#This Row],[MÊS]]&amp;""&amp;Tabela1[[#This Row],[ANO]]</f>
        <v>SET2026</v>
      </c>
      <c r="B84" s="1">
        <v>2026</v>
      </c>
      <c r="C84" t="s">
        <v>105</v>
      </c>
      <c r="D84" s="1" t="s">
        <v>102</v>
      </c>
      <c r="E84" s="1" t="s">
        <v>97</v>
      </c>
      <c r="F84" s="1" t="s">
        <v>99</v>
      </c>
      <c r="G84" s="1">
        <v>350</v>
      </c>
      <c r="H84" s="8" t="s">
        <v>100</v>
      </c>
      <c r="I84" s="3">
        <v>3940</v>
      </c>
      <c r="J84" s="3">
        <v>4341</v>
      </c>
      <c r="K84" s="2">
        <v>401</v>
      </c>
      <c r="L84" s="2">
        <v>277.75160190898418</v>
      </c>
      <c r="M84" s="14">
        <v>0.69264738630669376</v>
      </c>
    </row>
    <row r="85" spans="1:13" x14ac:dyDescent="0.25">
      <c r="A85" t="str">
        <f>Tabela1[[#This Row],[MÊS]]&amp;""&amp;Tabela1[[#This Row],[ANO]]</f>
        <v>SET2026</v>
      </c>
      <c r="B85" s="1">
        <v>2026</v>
      </c>
      <c r="C85" t="s">
        <v>105</v>
      </c>
      <c r="D85" s="1" t="s">
        <v>102</v>
      </c>
      <c r="E85" s="1" t="s">
        <v>97</v>
      </c>
      <c r="F85" s="1" t="s">
        <v>95</v>
      </c>
      <c r="G85" s="1">
        <v>269</v>
      </c>
      <c r="H85" s="9" t="s">
        <v>101</v>
      </c>
      <c r="I85" s="3">
        <v>4548</v>
      </c>
      <c r="J85" s="3">
        <v>4983</v>
      </c>
      <c r="K85" s="2">
        <v>435</v>
      </c>
      <c r="L85" s="2">
        <v>292.11327731134793</v>
      </c>
      <c r="M85" s="14">
        <v>0.67152477542838607</v>
      </c>
    </row>
    <row r="86" spans="1:13" x14ac:dyDescent="0.25">
      <c r="A86" t="str">
        <f>Tabela1[[#This Row],[MÊS]]&amp;""&amp;Tabela1[[#This Row],[ANO]]</f>
        <v>SET2026</v>
      </c>
      <c r="B86" s="1">
        <v>2026</v>
      </c>
      <c r="C86" t="s">
        <v>105</v>
      </c>
      <c r="D86" s="1" t="s">
        <v>102</v>
      </c>
      <c r="E86" s="1" t="s">
        <v>97</v>
      </c>
      <c r="F86" s="1" t="s">
        <v>95</v>
      </c>
      <c r="G86" s="1">
        <v>350</v>
      </c>
      <c r="H86" s="9" t="s">
        <v>96</v>
      </c>
      <c r="I86" s="3">
        <v>2963</v>
      </c>
      <c r="J86" s="3">
        <v>3900</v>
      </c>
      <c r="K86" s="2">
        <v>937</v>
      </c>
      <c r="L86" s="2">
        <v>652.45652117504187</v>
      </c>
      <c r="M86" s="14">
        <v>0.69632499591786756</v>
      </c>
    </row>
    <row r="87" spans="1:13" x14ac:dyDescent="0.25">
      <c r="A87" t="str">
        <f>Tabela1[[#This Row],[MÊS]]&amp;""&amp;Tabela1[[#This Row],[ANO]]</f>
        <v>SET2026</v>
      </c>
      <c r="B87" s="1">
        <v>2026</v>
      </c>
      <c r="C87" t="s">
        <v>105</v>
      </c>
      <c r="D87" s="1" t="s">
        <v>102</v>
      </c>
      <c r="E87" s="1" t="s">
        <v>97</v>
      </c>
      <c r="F87" s="1" t="s">
        <v>95</v>
      </c>
      <c r="G87" s="1">
        <v>473</v>
      </c>
      <c r="H87" s="9" t="s">
        <v>98</v>
      </c>
      <c r="I87" s="3">
        <v>1263</v>
      </c>
      <c r="J87" s="3">
        <v>2495</v>
      </c>
      <c r="K87" s="2">
        <v>1232</v>
      </c>
      <c r="L87" s="2">
        <v>1089.8444485328728</v>
      </c>
      <c r="M87" s="14">
        <v>0.88461400043252658</v>
      </c>
    </row>
    <row r="88" spans="1:13" x14ac:dyDescent="0.25">
      <c r="A88" t="str">
        <f>Tabela1[[#This Row],[MÊS]]&amp;""&amp;Tabela1[[#This Row],[ANO]]</f>
        <v>SET2026</v>
      </c>
      <c r="B88" s="1">
        <v>2026</v>
      </c>
      <c r="C88" t="s">
        <v>105</v>
      </c>
      <c r="D88" s="1" t="s">
        <v>102</v>
      </c>
      <c r="E88" s="1" t="s">
        <v>97</v>
      </c>
      <c r="F88" s="1" t="s">
        <v>95</v>
      </c>
      <c r="G88" s="1">
        <v>473</v>
      </c>
      <c r="H88" s="9" t="s">
        <v>103</v>
      </c>
      <c r="I88" s="3">
        <v>1982</v>
      </c>
      <c r="J88" s="3">
        <v>3155</v>
      </c>
      <c r="K88" s="2">
        <v>1173</v>
      </c>
      <c r="L88" s="2">
        <v>1148.4418227548576</v>
      </c>
      <c r="M88" s="14">
        <v>0.97906378751479761</v>
      </c>
    </row>
    <row r="89" spans="1:13" x14ac:dyDescent="0.25">
      <c r="A89" t="str">
        <f>Tabela1[[#This Row],[MÊS]]&amp;""&amp;Tabela1[[#This Row],[ANO]]</f>
        <v>SET2026</v>
      </c>
      <c r="B89" s="1">
        <v>2026</v>
      </c>
      <c r="C89" t="s">
        <v>105</v>
      </c>
      <c r="D89" s="1" t="s">
        <v>102</v>
      </c>
      <c r="E89" s="1" t="s">
        <v>97</v>
      </c>
      <c r="F89" s="1" t="s">
        <v>95</v>
      </c>
      <c r="G89" s="1">
        <v>473</v>
      </c>
      <c r="H89" s="9" t="s">
        <v>104</v>
      </c>
      <c r="I89" s="3">
        <v>5152</v>
      </c>
      <c r="J89" s="3">
        <v>5570</v>
      </c>
      <c r="K89" s="2">
        <v>418</v>
      </c>
      <c r="L89" s="2">
        <v>373.50857891659319</v>
      </c>
      <c r="M89" s="14">
        <v>0.89356119358036645</v>
      </c>
    </row>
    <row r="90" spans="1:13" x14ac:dyDescent="0.25">
      <c r="A90" t="str">
        <f>Tabela1[[#This Row],[MÊS]]&amp;""&amp;Tabela1[[#This Row],[ANO]]</f>
        <v>SET2026</v>
      </c>
      <c r="B90" s="1">
        <v>2026</v>
      </c>
      <c r="C90" t="s">
        <v>105</v>
      </c>
      <c r="D90" s="1" t="s">
        <v>118</v>
      </c>
      <c r="E90" s="5" t="s">
        <v>29</v>
      </c>
      <c r="F90" s="1" t="s">
        <v>42</v>
      </c>
      <c r="G90" s="5" t="s">
        <v>119</v>
      </c>
      <c r="H90" s="9" t="s">
        <v>106</v>
      </c>
      <c r="I90" s="3">
        <v>2938</v>
      </c>
      <c r="J90" s="3">
        <v>3871</v>
      </c>
      <c r="K90" s="2">
        <v>933</v>
      </c>
      <c r="L90" s="2">
        <v>764.31153418180486</v>
      </c>
      <c r="M90" s="14">
        <v>0.81919778583258829</v>
      </c>
    </row>
    <row r="91" spans="1:13" x14ac:dyDescent="0.25">
      <c r="A91" t="str">
        <f>Tabela1[[#This Row],[MÊS]]&amp;""&amp;Tabela1[[#This Row],[ANO]]</f>
        <v>SET2026</v>
      </c>
      <c r="B91" s="1">
        <v>2026</v>
      </c>
      <c r="C91" t="s">
        <v>105</v>
      </c>
      <c r="D91" s="1" t="s">
        <v>118</v>
      </c>
      <c r="E91" s="6" t="s">
        <v>29</v>
      </c>
      <c r="F91" s="1" t="s">
        <v>42</v>
      </c>
      <c r="G91" s="6" t="s">
        <v>33</v>
      </c>
      <c r="H91" s="9" t="s">
        <v>49</v>
      </c>
      <c r="I91" s="3">
        <v>2684</v>
      </c>
      <c r="J91" s="3">
        <v>3529</v>
      </c>
      <c r="K91" s="2">
        <v>845</v>
      </c>
      <c r="L91" s="2">
        <v>683.85691289537078</v>
      </c>
      <c r="M91" s="14">
        <v>0.80929812176966953</v>
      </c>
    </row>
    <row r="92" spans="1:13" x14ac:dyDescent="0.25">
      <c r="A92" t="str">
        <f>Tabela1[[#This Row],[MÊS]]&amp;""&amp;Tabela1[[#This Row],[ANO]]</f>
        <v>SET2026</v>
      </c>
      <c r="B92" s="1">
        <v>2026</v>
      </c>
      <c r="C92" t="s">
        <v>105</v>
      </c>
      <c r="D92" s="1" t="s">
        <v>118</v>
      </c>
      <c r="E92" s="5" t="s">
        <v>29</v>
      </c>
      <c r="F92" s="1" t="s">
        <v>42</v>
      </c>
      <c r="G92" s="5" t="s">
        <v>119</v>
      </c>
      <c r="H92" s="9" t="s">
        <v>107</v>
      </c>
      <c r="I92" s="3">
        <v>4596</v>
      </c>
      <c r="J92" s="3">
        <v>5656</v>
      </c>
      <c r="K92" s="2">
        <v>1060</v>
      </c>
      <c r="L92" s="2">
        <v>924.72383701197498</v>
      </c>
      <c r="M92" s="14">
        <v>0.87238097831318395</v>
      </c>
    </row>
    <row r="93" spans="1:13" x14ac:dyDescent="0.25">
      <c r="A93" t="str">
        <f>Tabela1[[#This Row],[MÊS]]&amp;""&amp;Tabela1[[#This Row],[ANO]]</f>
        <v>SET2026</v>
      </c>
      <c r="B93" s="1">
        <v>2026</v>
      </c>
      <c r="C93" t="s">
        <v>105</v>
      </c>
      <c r="D93" s="1" t="s">
        <v>118</v>
      </c>
      <c r="E93" s="6" t="s">
        <v>29</v>
      </c>
      <c r="F93" s="1" t="s">
        <v>42</v>
      </c>
      <c r="G93" s="6" t="s">
        <v>33</v>
      </c>
      <c r="H93" s="9" t="s">
        <v>52</v>
      </c>
      <c r="I93" s="3">
        <v>3758</v>
      </c>
      <c r="J93" s="3">
        <v>4542</v>
      </c>
      <c r="K93" s="2">
        <v>784</v>
      </c>
      <c r="L93" s="2">
        <v>621.29673205819699</v>
      </c>
      <c r="M93" s="14">
        <v>0.79247032150280228</v>
      </c>
    </row>
    <row r="94" spans="1:13" x14ac:dyDescent="0.25">
      <c r="A94" t="str">
        <f>Tabela1[[#This Row],[MÊS]]&amp;""&amp;Tabela1[[#This Row],[ANO]]</f>
        <v>SET2026</v>
      </c>
      <c r="B94" s="1">
        <v>2026</v>
      </c>
      <c r="C94" t="s">
        <v>105</v>
      </c>
      <c r="D94" s="1" t="s">
        <v>118</v>
      </c>
      <c r="E94" s="5" t="s">
        <v>29</v>
      </c>
      <c r="F94" s="1" t="s">
        <v>42</v>
      </c>
      <c r="G94" s="5" t="s">
        <v>33</v>
      </c>
      <c r="H94" s="9" t="s">
        <v>51</v>
      </c>
      <c r="I94" s="3">
        <v>2340</v>
      </c>
      <c r="J94" s="3">
        <v>3734</v>
      </c>
      <c r="K94" s="2">
        <v>1394</v>
      </c>
      <c r="L94" s="2">
        <v>1233.1906505259517</v>
      </c>
      <c r="M94" s="14">
        <v>0.88464178660398252</v>
      </c>
    </row>
    <row r="95" spans="1:13" x14ac:dyDescent="0.25">
      <c r="A95" t="str">
        <f>Tabela1[[#This Row],[MÊS]]&amp;""&amp;Tabela1[[#This Row],[ANO]]</f>
        <v>SET2026</v>
      </c>
      <c r="B95" s="1">
        <v>2026</v>
      </c>
      <c r="C95" t="s">
        <v>105</v>
      </c>
      <c r="D95" s="1" t="s">
        <v>118</v>
      </c>
      <c r="E95" s="6" t="s">
        <v>29</v>
      </c>
      <c r="F95" s="1" t="s">
        <v>42</v>
      </c>
      <c r="G95" s="6" t="s">
        <v>33</v>
      </c>
      <c r="H95" s="9" t="s">
        <v>50</v>
      </c>
      <c r="I95" s="3">
        <v>1789</v>
      </c>
      <c r="J95" s="3">
        <v>2759</v>
      </c>
      <c r="K95" s="2">
        <v>970</v>
      </c>
      <c r="L95" s="2">
        <v>832.58675319129668</v>
      </c>
      <c r="M95" s="14">
        <v>0.8583368589600997</v>
      </c>
    </row>
    <row r="96" spans="1:13" x14ac:dyDescent="0.25">
      <c r="A96" t="str">
        <f>Tabela1[[#This Row],[MÊS]]&amp;""&amp;Tabela1[[#This Row],[ANO]]</f>
        <v>SET2026</v>
      </c>
      <c r="B96" s="1">
        <v>2026</v>
      </c>
      <c r="C96" t="s">
        <v>105</v>
      </c>
      <c r="D96" s="1" t="s">
        <v>118</v>
      </c>
      <c r="E96" s="5" t="s">
        <v>29</v>
      </c>
      <c r="F96" s="1" t="s">
        <v>42</v>
      </c>
      <c r="G96" s="5" t="s">
        <v>33</v>
      </c>
      <c r="H96" s="9" t="s">
        <v>47</v>
      </c>
      <c r="I96" s="3">
        <v>928</v>
      </c>
      <c r="J96" s="3">
        <v>1522</v>
      </c>
      <c r="K96" s="2">
        <v>594</v>
      </c>
      <c r="L96" s="2">
        <v>582.94726323565965</v>
      </c>
      <c r="M96" s="14">
        <v>0.98139269904993209</v>
      </c>
    </row>
    <row r="97" spans="1:13" x14ac:dyDescent="0.25">
      <c r="A97" t="str">
        <f>Tabela1[[#This Row],[MÊS]]&amp;""&amp;Tabela1[[#This Row],[ANO]]</f>
        <v>SET2026</v>
      </c>
      <c r="B97" s="1">
        <v>2026</v>
      </c>
      <c r="C97" t="s">
        <v>105</v>
      </c>
      <c r="D97" s="1" t="s">
        <v>118</v>
      </c>
      <c r="E97" s="6" t="s">
        <v>29</v>
      </c>
      <c r="F97" s="1" t="s">
        <v>42</v>
      </c>
      <c r="G97" s="6" t="s">
        <v>33</v>
      </c>
      <c r="H97" s="10" t="s">
        <v>85</v>
      </c>
      <c r="I97" s="3">
        <v>2738</v>
      </c>
      <c r="J97" s="3">
        <v>3724</v>
      </c>
      <c r="K97" s="2">
        <v>986</v>
      </c>
      <c r="L97" s="2">
        <v>881.26790044380596</v>
      </c>
      <c r="M97" s="14">
        <v>0.89378083209310943</v>
      </c>
    </row>
    <row r="98" spans="1:13" x14ac:dyDescent="0.25">
      <c r="A98" t="str">
        <f>Tabela1[[#This Row],[MÊS]]&amp;""&amp;Tabela1[[#This Row],[ANO]]</f>
        <v>SET2026</v>
      </c>
      <c r="B98" s="1">
        <v>2026</v>
      </c>
      <c r="C98" t="s">
        <v>105</v>
      </c>
      <c r="D98" s="1" t="s">
        <v>118</v>
      </c>
      <c r="E98" s="5" t="s">
        <v>29</v>
      </c>
      <c r="F98" s="1" t="s">
        <v>36</v>
      </c>
      <c r="G98" s="5" t="s">
        <v>33</v>
      </c>
      <c r="H98" s="9" t="s">
        <v>35</v>
      </c>
      <c r="I98" s="3">
        <v>4405</v>
      </c>
      <c r="J98" s="3">
        <v>4623</v>
      </c>
      <c r="K98" s="2">
        <v>218</v>
      </c>
      <c r="L98" s="2">
        <v>149.0436025716958</v>
      </c>
      <c r="M98" s="14">
        <v>0.68368625032887986</v>
      </c>
    </row>
    <row r="99" spans="1:13" x14ac:dyDescent="0.25">
      <c r="A99" t="str">
        <f>Tabela1[[#This Row],[MÊS]]&amp;""&amp;Tabela1[[#This Row],[ANO]]</f>
        <v>SET2026</v>
      </c>
      <c r="B99" s="1">
        <v>2026</v>
      </c>
      <c r="C99" t="s">
        <v>105</v>
      </c>
      <c r="D99" s="1" t="s">
        <v>118</v>
      </c>
      <c r="E99" s="6" t="s">
        <v>29</v>
      </c>
      <c r="F99" s="1" t="s">
        <v>42</v>
      </c>
      <c r="G99" s="6" t="s">
        <v>119</v>
      </c>
      <c r="H99" s="9" t="s">
        <v>108</v>
      </c>
      <c r="I99" s="3">
        <v>4711</v>
      </c>
      <c r="J99" s="3">
        <v>4912</v>
      </c>
      <c r="K99" s="2">
        <v>201</v>
      </c>
      <c r="L99" s="2">
        <v>130.18810837086269</v>
      </c>
      <c r="M99" s="14">
        <v>0.64770203169583429</v>
      </c>
    </row>
    <row r="100" spans="1:13" x14ac:dyDescent="0.25">
      <c r="A100" t="str">
        <f>Tabela1[[#This Row],[MÊS]]&amp;""&amp;Tabela1[[#This Row],[ANO]]</f>
        <v>SET2026</v>
      </c>
      <c r="B100" s="1">
        <v>2026</v>
      </c>
      <c r="C100" t="s">
        <v>105</v>
      </c>
      <c r="D100" s="1" t="s">
        <v>118</v>
      </c>
      <c r="E100" s="5" t="s">
        <v>29</v>
      </c>
      <c r="F100" s="1" t="s">
        <v>42</v>
      </c>
      <c r="G100" s="5" t="s">
        <v>33</v>
      </c>
      <c r="H100" s="9" t="s">
        <v>53</v>
      </c>
      <c r="I100" s="3">
        <v>3625</v>
      </c>
      <c r="J100" s="3">
        <v>4938</v>
      </c>
      <c r="K100" s="2">
        <v>1313</v>
      </c>
      <c r="L100" s="2">
        <v>1065.1466389816778</v>
      </c>
      <c r="M100" s="14">
        <v>0.81123125588855893</v>
      </c>
    </row>
    <row r="101" spans="1:13" x14ac:dyDescent="0.25">
      <c r="A101" t="str">
        <f>Tabela1[[#This Row],[MÊS]]&amp;""&amp;Tabela1[[#This Row],[ANO]]</f>
        <v>SET2026</v>
      </c>
      <c r="B101" s="1">
        <v>2026</v>
      </c>
      <c r="C101" t="s">
        <v>105</v>
      </c>
      <c r="D101" s="1" t="s">
        <v>118</v>
      </c>
      <c r="E101" s="6" t="s">
        <v>29</v>
      </c>
      <c r="F101" s="1" t="s">
        <v>42</v>
      </c>
      <c r="G101" s="6" t="s">
        <v>33</v>
      </c>
      <c r="H101" s="9" t="s">
        <v>43</v>
      </c>
      <c r="I101" s="3">
        <v>4305</v>
      </c>
      <c r="J101" s="3">
        <v>5286</v>
      </c>
      <c r="K101" s="2">
        <v>981</v>
      </c>
      <c r="L101" s="2">
        <v>772.21595735952485</v>
      </c>
      <c r="M101" s="14">
        <v>0.78717222972428624</v>
      </c>
    </row>
    <row r="102" spans="1:13" x14ac:dyDescent="0.25">
      <c r="A102" t="str">
        <f>Tabela1[[#This Row],[MÊS]]&amp;""&amp;Tabela1[[#This Row],[ANO]]</f>
        <v>SET2026</v>
      </c>
      <c r="B102" s="1">
        <v>2026</v>
      </c>
      <c r="C102" t="s">
        <v>105</v>
      </c>
      <c r="D102" s="1" t="s">
        <v>118</v>
      </c>
      <c r="E102" s="5" t="s">
        <v>29</v>
      </c>
      <c r="F102" s="1" t="s">
        <v>36</v>
      </c>
      <c r="G102" s="5" t="s">
        <v>33</v>
      </c>
      <c r="H102" s="9" t="s">
        <v>45</v>
      </c>
      <c r="I102" s="3">
        <v>713</v>
      </c>
      <c r="J102" s="3">
        <v>1372</v>
      </c>
      <c r="K102" s="2">
        <v>659</v>
      </c>
      <c r="L102" s="2">
        <v>492.69479599828071</v>
      </c>
      <c r="M102" s="14">
        <v>0.74764005462561567</v>
      </c>
    </row>
    <row r="103" spans="1:13" x14ac:dyDescent="0.25">
      <c r="A103" t="str">
        <f>Tabela1[[#This Row],[MÊS]]&amp;""&amp;Tabela1[[#This Row],[ANO]]</f>
        <v>SET2026</v>
      </c>
      <c r="B103" s="1">
        <v>2026</v>
      </c>
      <c r="C103" t="s">
        <v>105</v>
      </c>
      <c r="D103" s="1" t="s">
        <v>118</v>
      </c>
      <c r="E103" s="6" t="s">
        <v>25</v>
      </c>
      <c r="F103" s="1" t="s">
        <v>26</v>
      </c>
      <c r="G103" s="6" t="s">
        <v>33</v>
      </c>
      <c r="H103" s="9" t="s">
        <v>109</v>
      </c>
      <c r="I103" s="3">
        <v>1740</v>
      </c>
      <c r="J103" s="3">
        <v>2168</v>
      </c>
      <c r="K103" s="2">
        <v>428</v>
      </c>
      <c r="L103" s="2">
        <v>356.68992456778437</v>
      </c>
      <c r="M103" s="14">
        <v>0.83338767422379523</v>
      </c>
    </row>
    <row r="104" spans="1:13" x14ac:dyDescent="0.25">
      <c r="A104" t="str">
        <f>Tabela1[[#This Row],[MÊS]]&amp;""&amp;Tabela1[[#This Row],[ANO]]</f>
        <v>SET2026</v>
      </c>
      <c r="B104" s="1">
        <v>2026</v>
      </c>
      <c r="C104" t="s">
        <v>105</v>
      </c>
      <c r="D104" s="1" t="s">
        <v>118</v>
      </c>
      <c r="E104" s="5" t="s">
        <v>25</v>
      </c>
      <c r="F104" s="1" t="s">
        <v>26</v>
      </c>
      <c r="G104" s="5" t="s">
        <v>33</v>
      </c>
      <c r="H104" s="9" t="s">
        <v>110</v>
      </c>
      <c r="I104" s="3">
        <v>5268</v>
      </c>
      <c r="J104" s="3">
        <v>6120</v>
      </c>
      <c r="K104" s="2">
        <v>852</v>
      </c>
      <c r="L104" s="2">
        <v>559.80616718142301</v>
      </c>
      <c r="M104" s="14">
        <v>0.65704949199697538</v>
      </c>
    </row>
    <row r="105" spans="1:13" x14ac:dyDescent="0.25">
      <c r="A105" t="str">
        <f>Tabela1[[#This Row],[MÊS]]&amp;""&amp;Tabela1[[#This Row],[ANO]]</f>
        <v>SET2026</v>
      </c>
      <c r="B105" s="1">
        <v>2026</v>
      </c>
      <c r="C105" t="s">
        <v>105</v>
      </c>
      <c r="D105" s="1" t="s">
        <v>118</v>
      </c>
      <c r="E105" s="6" t="s">
        <v>25</v>
      </c>
      <c r="F105" s="1" t="s">
        <v>26</v>
      </c>
      <c r="G105" s="6" t="s">
        <v>33</v>
      </c>
      <c r="H105" s="9" t="s">
        <v>111</v>
      </c>
      <c r="I105" s="3">
        <v>4484</v>
      </c>
      <c r="J105" s="3">
        <v>5383</v>
      </c>
      <c r="K105" s="2">
        <v>899</v>
      </c>
      <c r="L105" s="2">
        <v>580.59426875857469</v>
      </c>
      <c r="M105" s="14">
        <v>0.64582232342444346</v>
      </c>
    </row>
    <row r="106" spans="1:13" x14ac:dyDescent="0.25">
      <c r="A106" t="str">
        <f>Tabela1[[#This Row],[MÊS]]&amp;""&amp;Tabela1[[#This Row],[ANO]]</f>
        <v>SET2026</v>
      </c>
      <c r="B106" s="1">
        <v>2026</v>
      </c>
      <c r="C106" t="s">
        <v>105</v>
      </c>
      <c r="D106" s="1" t="s">
        <v>118</v>
      </c>
      <c r="E106" s="5" t="s">
        <v>25</v>
      </c>
      <c r="F106" s="1" t="s">
        <v>26</v>
      </c>
      <c r="G106" s="5" t="s">
        <v>33</v>
      </c>
      <c r="H106" s="9" t="s">
        <v>112</v>
      </c>
      <c r="I106" s="3">
        <v>2784</v>
      </c>
      <c r="J106" s="3">
        <v>3577</v>
      </c>
      <c r="K106" s="2">
        <v>793</v>
      </c>
      <c r="L106" s="2">
        <v>499.3875809697679</v>
      </c>
      <c r="M106" s="14">
        <v>0.62974474271093051</v>
      </c>
    </row>
    <row r="107" spans="1:13" x14ac:dyDescent="0.25">
      <c r="A107" t="str">
        <f>Tabela1[[#This Row],[MÊS]]&amp;""&amp;Tabela1[[#This Row],[ANO]]</f>
        <v>SET2026</v>
      </c>
      <c r="B107" s="1">
        <v>2026</v>
      </c>
      <c r="C107" t="s">
        <v>105</v>
      </c>
      <c r="D107" s="1" t="s">
        <v>118</v>
      </c>
      <c r="E107" s="6" t="s">
        <v>25</v>
      </c>
      <c r="F107" s="1" t="s">
        <v>26</v>
      </c>
      <c r="G107" s="6" t="s">
        <v>120</v>
      </c>
      <c r="H107" s="9" t="s">
        <v>113</v>
      </c>
      <c r="I107" s="3">
        <v>3707</v>
      </c>
      <c r="J107" s="3">
        <v>3975</v>
      </c>
      <c r="K107" s="2">
        <v>268</v>
      </c>
      <c r="L107" s="2">
        <v>228.89022441460043</v>
      </c>
      <c r="M107" s="14">
        <v>0.85406800154701656</v>
      </c>
    </row>
    <row r="108" spans="1:13" x14ac:dyDescent="0.25">
      <c r="A108" t="str">
        <f>Tabela1[[#This Row],[MÊS]]&amp;""&amp;Tabela1[[#This Row],[ANO]]</f>
        <v>SET2026</v>
      </c>
      <c r="B108" s="1">
        <v>2026</v>
      </c>
      <c r="C108" t="s">
        <v>105</v>
      </c>
      <c r="D108" s="1" t="s">
        <v>118</v>
      </c>
      <c r="E108" s="5" t="s">
        <v>25</v>
      </c>
      <c r="F108" s="1" t="s">
        <v>26</v>
      </c>
      <c r="G108" s="5" t="s">
        <v>33</v>
      </c>
      <c r="H108" s="9" t="s">
        <v>114</v>
      </c>
      <c r="I108" s="3">
        <v>5276</v>
      </c>
      <c r="J108" s="3">
        <v>5522</v>
      </c>
      <c r="K108" s="2">
        <v>246</v>
      </c>
      <c r="L108" s="2">
        <v>184.31024935192497</v>
      </c>
      <c r="M108" s="14">
        <v>0.74922865590213406</v>
      </c>
    </row>
    <row r="109" spans="1:13" x14ac:dyDescent="0.25">
      <c r="A109" t="str">
        <f>Tabela1[[#This Row],[MÊS]]&amp;""&amp;Tabela1[[#This Row],[ANO]]</f>
        <v>SET2026</v>
      </c>
      <c r="B109" s="1">
        <v>2026</v>
      </c>
      <c r="C109" t="s">
        <v>105</v>
      </c>
      <c r="D109" s="1" t="s">
        <v>118</v>
      </c>
      <c r="E109" s="11" t="s">
        <v>29</v>
      </c>
      <c r="F109" s="1" t="s">
        <v>42</v>
      </c>
      <c r="G109" s="6" t="s">
        <v>121</v>
      </c>
      <c r="H109" s="10" t="s">
        <v>115</v>
      </c>
      <c r="I109" s="3">
        <v>3645</v>
      </c>
      <c r="J109" s="3">
        <v>4118</v>
      </c>
      <c r="K109" s="2">
        <v>473</v>
      </c>
      <c r="L109" s="2">
        <v>410.15582352224965</v>
      </c>
      <c r="M109" s="14">
        <v>0.86713704761574983</v>
      </c>
    </row>
    <row r="110" spans="1:13" x14ac:dyDescent="0.25">
      <c r="A110" t="str">
        <f>Tabela1[[#This Row],[MÊS]]&amp;""&amp;Tabela1[[#This Row],[ANO]]</f>
        <v>SET2026</v>
      </c>
      <c r="B110" s="1">
        <v>2026</v>
      </c>
      <c r="C110" t="s">
        <v>105</v>
      </c>
      <c r="D110" s="1" t="s">
        <v>118</v>
      </c>
      <c r="E110" s="12" t="s">
        <v>29</v>
      </c>
      <c r="F110" s="1" t="s">
        <v>42</v>
      </c>
      <c r="G110" s="5" t="s">
        <v>121</v>
      </c>
      <c r="H110" s="10" t="s">
        <v>116</v>
      </c>
      <c r="I110" s="3">
        <v>5285</v>
      </c>
      <c r="J110" s="3">
        <v>6565</v>
      </c>
      <c r="K110" s="2">
        <v>1280</v>
      </c>
      <c r="L110" s="2">
        <v>972.78485502314084</v>
      </c>
      <c r="M110" s="14">
        <v>0.75998816798682878</v>
      </c>
    </row>
    <row r="111" spans="1:13" x14ac:dyDescent="0.25">
      <c r="A111" t="str">
        <f>Tabela1[[#This Row],[MÊS]]&amp;""&amp;Tabela1[[#This Row],[ANO]]</f>
        <v>SET2026</v>
      </c>
      <c r="B111" s="1">
        <v>2026</v>
      </c>
      <c r="C111" t="s">
        <v>105</v>
      </c>
      <c r="D111" s="1" t="s">
        <v>118</v>
      </c>
      <c r="E111" s="11" t="s">
        <v>29</v>
      </c>
      <c r="F111" s="1" t="s">
        <v>42</v>
      </c>
      <c r="G111" s="6" t="s">
        <v>121</v>
      </c>
      <c r="H111" s="10" t="s">
        <v>117</v>
      </c>
      <c r="I111" s="3">
        <v>1483</v>
      </c>
      <c r="J111" s="3">
        <v>1748</v>
      </c>
      <c r="K111" s="2">
        <v>265</v>
      </c>
      <c r="L111" s="2">
        <v>220.27392362633435</v>
      </c>
      <c r="M111" s="14">
        <v>0.83122235330692207</v>
      </c>
    </row>
    <row r="112" spans="1:13" x14ac:dyDescent="0.25">
      <c r="A112" t="str">
        <f>Tabela1[[#This Row],[MÊS]]&amp;""&amp;Tabela1[[#This Row],[ANO]]</f>
        <v>SET2026</v>
      </c>
      <c r="B112" s="1">
        <v>2026</v>
      </c>
      <c r="C112" t="s">
        <v>105</v>
      </c>
      <c r="D112" s="1" t="s">
        <v>118</v>
      </c>
      <c r="E112" s="12" t="s">
        <v>29</v>
      </c>
      <c r="F112" s="1" t="s">
        <v>39</v>
      </c>
      <c r="G112" s="5" t="s">
        <v>33</v>
      </c>
      <c r="H112" s="10" t="s">
        <v>46</v>
      </c>
      <c r="I112" s="3">
        <v>4634</v>
      </c>
      <c r="J112" s="3">
        <v>4988</v>
      </c>
      <c r="K112" s="2">
        <v>354</v>
      </c>
      <c r="L112" s="2">
        <v>216.97430452005861</v>
      </c>
      <c r="M112" s="14">
        <v>0.61292176418095656</v>
      </c>
    </row>
    <row r="113" spans="1:13" x14ac:dyDescent="0.25">
      <c r="A113" t="str">
        <f>Tabela1[[#This Row],[MÊS]]&amp;""&amp;Tabela1[[#This Row],[ANO]]</f>
        <v>SET2026</v>
      </c>
      <c r="B113" s="1">
        <v>2026</v>
      </c>
      <c r="C113" t="s">
        <v>105</v>
      </c>
      <c r="D113" s="1" t="s">
        <v>118</v>
      </c>
      <c r="E113" s="11" t="s">
        <v>29</v>
      </c>
      <c r="F113" s="1" t="s">
        <v>39</v>
      </c>
      <c r="G113" s="6" t="s">
        <v>33</v>
      </c>
      <c r="H113" s="9" t="s">
        <v>38</v>
      </c>
      <c r="I113" s="3">
        <v>3279</v>
      </c>
      <c r="J113" s="3">
        <v>4255</v>
      </c>
      <c r="K113" s="2">
        <v>976</v>
      </c>
      <c r="L113" s="2">
        <v>631.52530125046542</v>
      </c>
      <c r="M113" s="14">
        <v>0.64705461193695224</v>
      </c>
    </row>
    <row r="114" spans="1:13" x14ac:dyDescent="0.25">
      <c r="A114" t="str">
        <f>Tabela1[[#This Row],[MÊS]]&amp;""&amp;Tabela1[[#This Row],[ANO]]</f>
        <v>SET2026</v>
      </c>
      <c r="B114" s="1">
        <v>2026</v>
      </c>
      <c r="C114" t="s">
        <v>105</v>
      </c>
      <c r="D114" s="1" t="s">
        <v>122</v>
      </c>
      <c r="E114" s="5" t="s">
        <v>29</v>
      </c>
      <c r="F114" s="1" t="s">
        <v>42</v>
      </c>
      <c r="G114" s="5">
        <v>350</v>
      </c>
      <c r="H114" s="8" t="s">
        <v>123</v>
      </c>
      <c r="I114" s="3">
        <v>2257</v>
      </c>
      <c r="J114" s="3">
        <v>3489</v>
      </c>
      <c r="K114" s="2">
        <v>1232</v>
      </c>
      <c r="L114" s="2">
        <v>756.71465805298953</v>
      </c>
      <c r="M114" s="14">
        <v>0.61421644322482916</v>
      </c>
    </row>
    <row r="115" spans="1:13" x14ac:dyDescent="0.25">
      <c r="A115" t="str">
        <f>Tabela1[[#This Row],[MÊS]]&amp;""&amp;Tabela1[[#This Row],[ANO]]</f>
        <v>SET2026</v>
      </c>
      <c r="B115" s="1">
        <v>2026</v>
      </c>
      <c r="C115" t="s">
        <v>105</v>
      </c>
      <c r="D115" s="1" t="s">
        <v>122</v>
      </c>
      <c r="E115" s="6" t="s">
        <v>29</v>
      </c>
      <c r="F115" s="1" t="s">
        <v>42</v>
      </c>
      <c r="G115" s="6">
        <v>350</v>
      </c>
      <c r="H115" s="9" t="s">
        <v>124</v>
      </c>
      <c r="I115" s="3">
        <v>1474</v>
      </c>
      <c r="J115" s="3">
        <v>1900</v>
      </c>
      <c r="K115" s="2">
        <v>426</v>
      </c>
      <c r="L115" s="2">
        <v>330.25524765888838</v>
      </c>
      <c r="M115" s="14">
        <v>0.7752470602321323</v>
      </c>
    </row>
    <row r="116" spans="1:13" x14ac:dyDescent="0.25">
      <c r="A116" t="str">
        <f>Tabela1[[#This Row],[MÊS]]&amp;""&amp;Tabela1[[#This Row],[ANO]]</f>
        <v>SET2026</v>
      </c>
      <c r="B116" s="1">
        <v>2026</v>
      </c>
      <c r="C116" t="s">
        <v>105</v>
      </c>
      <c r="D116" s="1" t="s">
        <v>122</v>
      </c>
      <c r="E116" s="5" t="s">
        <v>29</v>
      </c>
      <c r="F116" s="1" t="s">
        <v>42</v>
      </c>
      <c r="G116" s="5">
        <v>350</v>
      </c>
      <c r="H116" s="9" t="s">
        <v>125</v>
      </c>
      <c r="I116" s="3">
        <v>4276</v>
      </c>
      <c r="J116" s="3">
        <v>5578</v>
      </c>
      <c r="K116" s="2">
        <v>1302</v>
      </c>
      <c r="L116" s="2">
        <v>1211.786299531894</v>
      </c>
      <c r="M116" s="14">
        <v>0.93071144357288327</v>
      </c>
    </row>
    <row r="117" spans="1:13" x14ac:dyDescent="0.25">
      <c r="A117" t="str">
        <f>Tabela1[[#This Row],[MÊS]]&amp;""&amp;Tabela1[[#This Row],[ANO]]</f>
        <v>SET2026</v>
      </c>
      <c r="B117" s="1">
        <v>2026</v>
      </c>
      <c r="C117" t="s">
        <v>105</v>
      </c>
      <c r="D117" s="1" t="s">
        <v>122</v>
      </c>
      <c r="E117" s="6" t="s">
        <v>29</v>
      </c>
      <c r="F117" s="1" t="s">
        <v>42</v>
      </c>
      <c r="G117" s="6">
        <v>350</v>
      </c>
      <c r="H117" s="9" t="s">
        <v>126</v>
      </c>
      <c r="I117" s="3">
        <v>2342</v>
      </c>
      <c r="J117" s="3">
        <v>3108</v>
      </c>
      <c r="K117" s="2">
        <v>766</v>
      </c>
      <c r="L117" s="2">
        <v>721.108319254344</v>
      </c>
      <c r="M117" s="14">
        <v>0.94139467265580157</v>
      </c>
    </row>
    <row r="118" spans="1:13" x14ac:dyDescent="0.25">
      <c r="A118" t="str">
        <f>Tabela1[[#This Row],[MÊS]]&amp;""&amp;Tabela1[[#This Row],[ANO]]</f>
        <v>SET2026</v>
      </c>
      <c r="B118" s="1">
        <v>2026</v>
      </c>
      <c r="C118" t="s">
        <v>105</v>
      </c>
      <c r="D118" s="1" t="s">
        <v>122</v>
      </c>
      <c r="E118" s="5" t="s">
        <v>29</v>
      </c>
      <c r="F118" s="1" t="s">
        <v>42</v>
      </c>
      <c r="G118" s="5">
        <v>350</v>
      </c>
      <c r="H118" s="9" t="s">
        <v>127</v>
      </c>
      <c r="I118" s="3">
        <v>4261</v>
      </c>
      <c r="J118" s="3">
        <v>5132</v>
      </c>
      <c r="K118" s="2">
        <v>871</v>
      </c>
      <c r="L118" s="2">
        <v>651.83357995250879</v>
      </c>
      <c r="M118" s="14">
        <v>0.74837380017509625</v>
      </c>
    </row>
    <row r="119" spans="1:13" x14ac:dyDescent="0.25">
      <c r="A119" t="str">
        <f>Tabela1[[#This Row],[MÊS]]&amp;""&amp;Tabela1[[#This Row],[ANO]]</f>
        <v>SET2026</v>
      </c>
      <c r="B119" s="1">
        <v>2026</v>
      </c>
      <c r="C119" t="s">
        <v>105</v>
      </c>
      <c r="D119" s="1" t="s">
        <v>122</v>
      </c>
      <c r="E119" s="6" t="s">
        <v>25</v>
      </c>
      <c r="F119" s="1" t="s">
        <v>26</v>
      </c>
      <c r="G119" s="6">
        <v>473</v>
      </c>
      <c r="H119" s="9" t="s">
        <v>128</v>
      </c>
      <c r="I119" s="3">
        <v>3622</v>
      </c>
      <c r="J119" s="3">
        <v>4895</v>
      </c>
      <c r="K119" s="2">
        <v>1273</v>
      </c>
      <c r="L119" s="2">
        <v>1147.9530528858425</v>
      </c>
      <c r="M119" s="14">
        <v>0.90176987657960916</v>
      </c>
    </row>
    <row r="120" spans="1:13" x14ac:dyDescent="0.25">
      <c r="A120" t="str">
        <f>Tabela1[[#This Row],[MÊS]]&amp;""&amp;Tabela1[[#This Row],[ANO]]</f>
        <v>SET2026</v>
      </c>
      <c r="B120" s="1">
        <v>2026</v>
      </c>
      <c r="C120" t="s">
        <v>105</v>
      </c>
      <c r="D120" s="1" t="s">
        <v>122</v>
      </c>
      <c r="E120" s="5" t="s">
        <v>25</v>
      </c>
      <c r="F120" s="1" t="s">
        <v>26</v>
      </c>
      <c r="G120" s="5">
        <v>473</v>
      </c>
      <c r="H120" s="9" t="s">
        <v>129</v>
      </c>
      <c r="I120" s="3">
        <v>1510</v>
      </c>
      <c r="J120" s="3">
        <v>2671</v>
      </c>
      <c r="K120" s="2">
        <v>1161</v>
      </c>
      <c r="L120" s="2">
        <v>711.39422885905128</v>
      </c>
      <c r="M120" s="14">
        <v>0.6127426605159787</v>
      </c>
    </row>
    <row r="121" spans="1:13" x14ac:dyDescent="0.25">
      <c r="A121" t="str">
        <f>Tabela1[[#This Row],[MÊS]]&amp;""&amp;Tabela1[[#This Row],[ANO]]</f>
        <v>SET2026</v>
      </c>
      <c r="B121" s="1">
        <v>2026</v>
      </c>
      <c r="C121" t="s">
        <v>105</v>
      </c>
      <c r="D121" s="1" t="s">
        <v>122</v>
      </c>
      <c r="E121" s="6" t="s">
        <v>25</v>
      </c>
      <c r="F121" s="1" t="s">
        <v>26</v>
      </c>
      <c r="G121" s="6">
        <v>473</v>
      </c>
      <c r="H121" s="9" t="s">
        <v>130</v>
      </c>
      <c r="I121" s="3">
        <v>2817</v>
      </c>
      <c r="J121" s="3">
        <v>3455</v>
      </c>
      <c r="K121" s="2">
        <v>638</v>
      </c>
      <c r="L121" s="2">
        <v>404.77688712379194</v>
      </c>
      <c r="M121" s="14">
        <v>0.6344465315419936</v>
      </c>
    </row>
    <row r="122" spans="1:13" x14ac:dyDescent="0.25">
      <c r="A122" t="str">
        <f>Tabela1[[#This Row],[MÊS]]&amp;""&amp;Tabela1[[#This Row],[ANO]]</f>
        <v>SET2026</v>
      </c>
      <c r="B122" s="1">
        <v>2026</v>
      </c>
      <c r="C122" t="s">
        <v>105</v>
      </c>
      <c r="D122" s="1" t="s">
        <v>122</v>
      </c>
      <c r="E122" s="5" t="s">
        <v>25</v>
      </c>
      <c r="F122" s="1" t="s">
        <v>26</v>
      </c>
      <c r="G122" s="5">
        <v>473</v>
      </c>
      <c r="H122" s="9" t="s">
        <v>131</v>
      </c>
      <c r="I122" s="3">
        <v>2586</v>
      </c>
      <c r="J122" s="3">
        <v>2807</v>
      </c>
      <c r="K122" s="2">
        <v>221</v>
      </c>
      <c r="L122" s="2">
        <v>134.48702123194096</v>
      </c>
      <c r="M122" s="14">
        <v>0.60853855761059261</v>
      </c>
    </row>
    <row r="123" spans="1:13" x14ac:dyDescent="0.25">
      <c r="A123" t="str">
        <f>Tabela1[[#This Row],[MÊS]]&amp;""&amp;Tabela1[[#This Row],[ANO]]</f>
        <v>SET2026</v>
      </c>
      <c r="B123" s="1">
        <v>2026</v>
      </c>
      <c r="C123" t="s">
        <v>105</v>
      </c>
      <c r="D123" s="1" t="s">
        <v>122</v>
      </c>
      <c r="E123" s="6" t="s">
        <v>25</v>
      </c>
      <c r="F123" s="1" t="s">
        <v>26</v>
      </c>
      <c r="G123" s="6">
        <v>473</v>
      </c>
      <c r="H123" s="9" t="s">
        <v>132</v>
      </c>
      <c r="I123" s="3">
        <v>2592</v>
      </c>
      <c r="J123" s="3">
        <v>3760</v>
      </c>
      <c r="K123" s="2">
        <v>1168</v>
      </c>
      <c r="L123" s="2">
        <v>939.59552684076641</v>
      </c>
      <c r="M123" s="14">
        <v>0.80444822503490276</v>
      </c>
    </row>
    <row r="124" spans="1:13" x14ac:dyDescent="0.25">
      <c r="A124" t="str">
        <f>Tabela1[[#This Row],[MÊS]]&amp;""&amp;Tabela1[[#This Row],[ANO]]</f>
        <v>SET2026</v>
      </c>
      <c r="B124" s="1">
        <v>2026</v>
      </c>
      <c r="C124" t="s">
        <v>105</v>
      </c>
      <c r="D124" s="1" t="s">
        <v>122</v>
      </c>
      <c r="E124" s="5" t="s">
        <v>25</v>
      </c>
      <c r="F124" s="1" t="s">
        <v>26</v>
      </c>
      <c r="G124" s="5">
        <v>473</v>
      </c>
      <c r="H124" s="9" t="s">
        <v>133</v>
      </c>
      <c r="I124" s="3">
        <v>1714</v>
      </c>
      <c r="J124" s="3">
        <v>2065</v>
      </c>
      <c r="K124" s="2">
        <v>351</v>
      </c>
      <c r="L124" s="2">
        <v>342.33638125964427</v>
      </c>
      <c r="M124" s="14">
        <v>0.9753173255260521</v>
      </c>
    </row>
    <row r="125" spans="1:13" x14ac:dyDescent="0.25">
      <c r="A125" t="str">
        <f>Tabela1[[#This Row],[MÊS]]&amp;""&amp;Tabela1[[#This Row],[ANO]]</f>
        <v>SET2026</v>
      </c>
      <c r="B125" s="1">
        <v>2026</v>
      </c>
      <c r="C125" t="s">
        <v>105</v>
      </c>
      <c r="D125" s="1" t="s">
        <v>122</v>
      </c>
      <c r="E125" s="6" t="s">
        <v>25</v>
      </c>
      <c r="F125" s="1" t="s">
        <v>26</v>
      </c>
      <c r="G125" s="6">
        <v>269</v>
      </c>
      <c r="H125" s="9" t="s">
        <v>134</v>
      </c>
      <c r="I125" s="3">
        <v>1339</v>
      </c>
      <c r="J125" s="3">
        <v>2339</v>
      </c>
      <c r="K125" s="2">
        <v>1000</v>
      </c>
      <c r="L125" s="2">
        <v>890.66591646559652</v>
      </c>
      <c r="M125" s="14">
        <v>0.89066591646559656</v>
      </c>
    </row>
    <row r="126" spans="1:13" x14ac:dyDescent="0.25">
      <c r="A126" t="str">
        <f>Tabela1[[#This Row],[MÊS]]&amp;""&amp;Tabela1[[#This Row],[ANO]]</f>
        <v>SET2026</v>
      </c>
      <c r="B126" s="1">
        <v>2026</v>
      </c>
      <c r="C126" t="s">
        <v>105</v>
      </c>
      <c r="D126" s="1" t="s">
        <v>122</v>
      </c>
      <c r="E126" s="5" t="s">
        <v>25</v>
      </c>
      <c r="F126" s="1" t="s">
        <v>26</v>
      </c>
      <c r="G126" s="5">
        <v>269</v>
      </c>
      <c r="H126" s="9" t="s">
        <v>135</v>
      </c>
      <c r="I126" s="3">
        <v>1429</v>
      </c>
      <c r="J126" s="3">
        <v>1801</v>
      </c>
      <c r="K126" s="2">
        <v>372</v>
      </c>
      <c r="L126" s="2">
        <v>239.6326592177316</v>
      </c>
      <c r="M126" s="14">
        <v>0.64417381510142901</v>
      </c>
    </row>
    <row r="127" spans="1:13" x14ac:dyDescent="0.25">
      <c r="A127" t="str">
        <f>Tabela1[[#This Row],[MÊS]]&amp;""&amp;Tabela1[[#This Row],[ANO]]</f>
        <v>SET2026</v>
      </c>
      <c r="B127" s="1">
        <v>2026</v>
      </c>
      <c r="C127" t="s">
        <v>105</v>
      </c>
      <c r="D127" s="1" t="s">
        <v>122</v>
      </c>
      <c r="E127" s="6" t="s">
        <v>25</v>
      </c>
      <c r="F127" s="1" t="s">
        <v>26</v>
      </c>
      <c r="G127" s="6">
        <v>269</v>
      </c>
      <c r="H127" s="9" t="s">
        <v>136</v>
      </c>
      <c r="I127" s="3">
        <v>3800</v>
      </c>
      <c r="J127" s="3">
        <v>4459</v>
      </c>
      <c r="K127" s="2">
        <v>659</v>
      </c>
      <c r="L127" s="2">
        <v>442.78555423416338</v>
      </c>
      <c r="M127" s="14">
        <v>0.67190524162998999</v>
      </c>
    </row>
    <row r="128" spans="1:13" x14ac:dyDescent="0.25">
      <c r="A128" t="str">
        <f>Tabela1[[#This Row],[MÊS]]&amp;""&amp;Tabela1[[#This Row],[ANO]]</f>
        <v>SET2026</v>
      </c>
      <c r="B128" s="1">
        <v>2026</v>
      </c>
      <c r="C128" t="s">
        <v>105</v>
      </c>
      <c r="D128" s="1" t="s">
        <v>122</v>
      </c>
      <c r="E128" s="5" t="s">
        <v>25</v>
      </c>
      <c r="F128" s="1" t="s">
        <v>26</v>
      </c>
      <c r="G128" s="5">
        <v>269</v>
      </c>
      <c r="H128" s="9" t="s">
        <v>137</v>
      </c>
      <c r="I128" s="3">
        <v>3674</v>
      </c>
      <c r="J128" s="3">
        <v>4778</v>
      </c>
      <c r="K128" s="2">
        <v>1104</v>
      </c>
      <c r="L128" s="2">
        <v>851.27817386848528</v>
      </c>
      <c r="M128" s="14">
        <v>0.77108530241710627</v>
      </c>
    </row>
    <row r="129" spans="1:13" x14ac:dyDescent="0.25">
      <c r="A129" t="str">
        <f>Tabela1[[#This Row],[MÊS]]&amp;""&amp;Tabela1[[#This Row],[ANO]]</f>
        <v>SET2026</v>
      </c>
      <c r="B129" s="1">
        <v>2026</v>
      </c>
      <c r="C129" t="s">
        <v>105</v>
      </c>
      <c r="D129" s="1" t="s">
        <v>122</v>
      </c>
      <c r="E129" s="6" t="s">
        <v>25</v>
      </c>
      <c r="F129" s="1" t="s">
        <v>26</v>
      </c>
      <c r="G129" s="6">
        <v>269</v>
      </c>
      <c r="H129" s="9" t="s">
        <v>138</v>
      </c>
      <c r="I129" s="3">
        <v>3752</v>
      </c>
      <c r="J129" s="3">
        <v>4811</v>
      </c>
      <c r="K129" s="2">
        <v>1059</v>
      </c>
      <c r="L129" s="2">
        <v>707.59689539766873</v>
      </c>
      <c r="M129" s="14">
        <v>0.66817459433207627</v>
      </c>
    </row>
    <row r="130" spans="1:13" x14ac:dyDescent="0.25">
      <c r="A130" t="str">
        <f>Tabela1[[#This Row],[MÊS]]&amp;""&amp;Tabela1[[#This Row],[ANO]]</f>
        <v>SET2026</v>
      </c>
      <c r="B130" s="1">
        <v>2026</v>
      </c>
      <c r="C130" t="s">
        <v>105</v>
      </c>
      <c r="D130" s="1" t="s">
        <v>122</v>
      </c>
      <c r="E130" s="5" t="s">
        <v>25</v>
      </c>
      <c r="F130" s="1" t="s">
        <v>26</v>
      </c>
      <c r="G130" s="5">
        <v>269</v>
      </c>
      <c r="H130" s="9" t="s">
        <v>139</v>
      </c>
      <c r="I130" s="3">
        <v>2984</v>
      </c>
      <c r="J130" s="3">
        <v>3323</v>
      </c>
      <c r="K130" s="2">
        <v>339</v>
      </c>
      <c r="L130" s="2">
        <v>309.01997845515984</v>
      </c>
      <c r="M130" s="14">
        <v>0.91156335827480783</v>
      </c>
    </row>
    <row r="131" spans="1:13" x14ac:dyDescent="0.25">
      <c r="A131" t="str">
        <f>Tabela1[[#This Row],[MÊS]]&amp;""&amp;Tabela1[[#This Row],[ANO]]</f>
        <v>SET2026</v>
      </c>
      <c r="B131" s="1">
        <v>2026</v>
      </c>
      <c r="C131" t="s">
        <v>105</v>
      </c>
      <c r="D131" s="1" t="s">
        <v>122</v>
      </c>
      <c r="E131" s="6" t="s">
        <v>25</v>
      </c>
      <c r="F131" s="1" t="s">
        <v>26</v>
      </c>
      <c r="G131" s="6">
        <v>473</v>
      </c>
      <c r="H131" s="9" t="s">
        <v>140</v>
      </c>
      <c r="I131" s="3">
        <v>5273</v>
      </c>
      <c r="J131" s="3">
        <v>5596</v>
      </c>
      <c r="K131" s="2">
        <v>323</v>
      </c>
      <c r="L131" s="2">
        <v>312.62867450371181</v>
      </c>
      <c r="M131" s="14">
        <v>0.9678906331384266</v>
      </c>
    </row>
    <row r="132" spans="1:13" x14ac:dyDescent="0.25">
      <c r="A132" t="str">
        <f>Tabela1[[#This Row],[MÊS]]&amp;""&amp;Tabela1[[#This Row],[ANO]]</f>
        <v>SET2026</v>
      </c>
      <c r="B132" s="1">
        <v>2026</v>
      </c>
      <c r="C132" t="s">
        <v>105</v>
      </c>
      <c r="D132" s="1" t="s">
        <v>122</v>
      </c>
      <c r="E132" s="5" t="s">
        <v>25</v>
      </c>
      <c r="F132" s="1" t="s">
        <v>26</v>
      </c>
      <c r="G132" s="5">
        <v>473</v>
      </c>
      <c r="H132" s="9" t="s">
        <v>141</v>
      </c>
      <c r="I132" s="3">
        <v>4764</v>
      </c>
      <c r="J132" s="3">
        <v>5349</v>
      </c>
      <c r="K132" s="2">
        <v>585</v>
      </c>
      <c r="L132" s="2">
        <v>391.37767877501022</v>
      </c>
      <c r="M132" s="14">
        <v>0.66902167311967564</v>
      </c>
    </row>
    <row r="133" spans="1:13" x14ac:dyDescent="0.25">
      <c r="A133" t="str">
        <f>Tabela1[[#This Row],[MÊS]]&amp;""&amp;Tabela1[[#This Row],[ANO]]</f>
        <v>SET2026</v>
      </c>
      <c r="B133" s="1">
        <v>2026</v>
      </c>
      <c r="C133" t="s">
        <v>105</v>
      </c>
      <c r="D133" s="1" t="s">
        <v>122</v>
      </c>
      <c r="E133" s="6" t="s">
        <v>25</v>
      </c>
      <c r="F133" s="1" t="s">
        <v>26</v>
      </c>
      <c r="G133" s="6">
        <v>473</v>
      </c>
      <c r="H133" s="9" t="s">
        <v>142</v>
      </c>
      <c r="I133" s="3">
        <v>4833</v>
      </c>
      <c r="J133" s="3">
        <v>5243</v>
      </c>
      <c r="K133" s="2">
        <v>410</v>
      </c>
      <c r="L133" s="2">
        <v>316.36047204858602</v>
      </c>
      <c r="M133" s="14">
        <v>0.7716109074355757</v>
      </c>
    </row>
    <row r="134" spans="1:13" x14ac:dyDescent="0.25">
      <c r="A134" t="str">
        <f>Tabela1[[#This Row],[MÊS]]&amp;""&amp;Tabela1[[#This Row],[ANO]]</f>
        <v>SET2026</v>
      </c>
      <c r="B134" s="1">
        <v>2026</v>
      </c>
      <c r="C134" t="s">
        <v>105</v>
      </c>
      <c r="D134" s="1" t="s">
        <v>122</v>
      </c>
      <c r="E134" s="5" t="s">
        <v>83</v>
      </c>
      <c r="F134" s="1" t="s">
        <v>198</v>
      </c>
      <c r="G134" s="5">
        <v>350</v>
      </c>
      <c r="H134" s="9" t="s">
        <v>143</v>
      </c>
      <c r="I134" s="3">
        <v>847</v>
      </c>
      <c r="J134" s="3">
        <v>1664</v>
      </c>
      <c r="K134" s="2">
        <v>817</v>
      </c>
      <c r="L134" s="2">
        <v>673.1002307405181</v>
      </c>
      <c r="M134" s="14">
        <v>0.82386809148166229</v>
      </c>
    </row>
    <row r="135" spans="1:13" x14ac:dyDescent="0.25">
      <c r="A135" t="str">
        <f>Tabela1[[#This Row],[MÊS]]&amp;""&amp;Tabela1[[#This Row],[ANO]]</f>
        <v>SET2026</v>
      </c>
      <c r="B135" s="1">
        <v>2026</v>
      </c>
      <c r="C135" t="s">
        <v>105</v>
      </c>
      <c r="D135" s="1" t="s">
        <v>122</v>
      </c>
      <c r="E135" s="6" t="s">
        <v>167</v>
      </c>
      <c r="F135" s="1" t="s">
        <v>193</v>
      </c>
      <c r="G135" s="6">
        <v>265</v>
      </c>
      <c r="H135" s="9" t="s">
        <v>144</v>
      </c>
      <c r="I135" s="3">
        <v>845</v>
      </c>
      <c r="J135" s="3">
        <v>1394</v>
      </c>
      <c r="K135" s="2">
        <v>549</v>
      </c>
      <c r="L135" s="2">
        <v>522.13048423080102</v>
      </c>
      <c r="M135" s="14">
        <v>0.95105734832568489</v>
      </c>
    </row>
    <row r="136" spans="1:13" x14ac:dyDescent="0.25">
      <c r="A136" t="str">
        <f>Tabela1[[#This Row],[MÊS]]&amp;""&amp;Tabela1[[#This Row],[ANO]]</f>
        <v>SET2026</v>
      </c>
      <c r="B136" s="1">
        <v>2026</v>
      </c>
      <c r="C136" t="s">
        <v>105</v>
      </c>
      <c r="D136" s="1" t="s">
        <v>122</v>
      </c>
      <c r="E136" s="5" t="s">
        <v>167</v>
      </c>
      <c r="F136" s="1" t="s">
        <v>193</v>
      </c>
      <c r="G136" s="5">
        <v>473</v>
      </c>
      <c r="H136" s="9" t="s">
        <v>145</v>
      </c>
      <c r="I136" s="3">
        <v>2431</v>
      </c>
      <c r="J136" s="3">
        <v>2760</v>
      </c>
      <c r="K136" s="2">
        <v>329</v>
      </c>
      <c r="L136" s="2">
        <v>253.06490693463095</v>
      </c>
      <c r="M136" s="14">
        <v>0.76919424600191777</v>
      </c>
    </row>
    <row r="137" spans="1:13" x14ac:dyDescent="0.25">
      <c r="A137" t="str">
        <f>Tabela1[[#This Row],[MÊS]]&amp;""&amp;Tabela1[[#This Row],[ANO]]</f>
        <v>SET2026</v>
      </c>
      <c r="B137" s="1">
        <v>2026</v>
      </c>
      <c r="C137" t="s">
        <v>105</v>
      </c>
      <c r="D137" s="1" t="s">
        <v>122</v>
      </c>
      <c r="E137" s="6" t="s">
        <v>97</v>
      </c>
      <c r="F137" s="1" t="s">
        <v>99</v>
      </c>
      <c r="G137" s="6">
        <v>269</v>
      </c>
      <c r="H137" s="9" t="s">
        <v>146</v>
      </c>
      <c r="I137" s="3">
        <v>1451</v>
      </c>
      <c r="J137" s="3">
        <v>2540</v>
      </c>
      <c r="K137" s="2">
        <v>1089</v>
      </c>
      <c r="L137" s="2">
        <v>984.12571859137324</v>
      </c>
      <c r="M137" s="14">
        <v>0.90369671128684415</v>
      </c>
    </row>
    <row r="138" spans="1:13" x14ac:dyDescent="0.25">
      <c r="A138" t="str">
        <f>Tabela1[[#This Row],[MÊS]]&amp;""&amp;Tabela1[[#This Row],[ANO]]</f>
        <v>SET2026</v>
      </c>
      <c r="B138" s="1">
        <v>2026</v>
      </c>
      <c r="C138" t="s">
        <v>105</v>
      </c>
      <c r="D138" s="1" t="s">
        <v>122</v>
      </c>
      <c r="E138" s="5" t="s">
        <v>97</v>
      </c>
      <c r="F138" s="1" t="s">
        <v>99</v>
      </c>
      <c r="G138" s="5">
        <v>269</v>
      </c>
      <c r="H138" s="9" t="s">
        <v>147</v>
      </c>
      <c r="I138" s="3">
        <v>879</v>
      </c>
      <c r="J138" s="3">
        <v>1973</v>
      </c>
      <c r="K138" s="2">
        <v>1094</v>
      </c>
      <c r="L138" s="2">
        <v>1050.4880282586712</v>
      </c>
      <c r="M138" s="14">
        <v>0.96022671687264283</v>
      </c>
    </row>
    <row r="139" spans="1:13" x14ac:dyDescent="0.25">
      <c r="A139" t="str">
        <f>Tabela1[[#This Row],[MÊS]]&amp;""&amp;Tabela1[[#This Row],[ANO]]</f>
        <v>SET2026</v>
      </c>
      <c r="B139" s="1">
        <v>2026</v>
      </c>
      <c r="C139" t="s">
        <v>105</v>
      </c>
      <c r="D139" s="1" t="s">
        <v>122</v>
      </c>
      <c r="E139" s="6" t="s">
        <v>97</v>
      </c>
      <c r="F139" s="1" t="s">
        <v>99</v>
      </c>
      <c r="G139" s="6">
        <v>350</v>
      </c>
      <c r="H139" s="9" t="s">
        <v>100</v>
      </c>
      <c r="I139" s="3">
        <v>2281</v>
      </c>
      <c r="J139" s="3">
        <v>3075</v>
      </c>
      <c r="K139" s="2">
        <v>794</v>
      </c>
      <c r="L139" s="2">
        <v>605.88421244864639</v>
      </c>
      <c r="M139" s="14">
        <v>0.76307835320988215</v>
      </c>
    </row>
    <row r="140" spans="1:13" x14ac:dyDescent="0.25">
      <c r="A140" t="str">
        <f>Tabela1[[#This Row],[MÊS]]&amp;""&amp;Tabela1[[#This Row],[ANO]]</f>
        <v>SET2026</v>
      </c>
      <c r="B140" s="1">
        <v>2026</v>
      </c>
      <c r="C140" t="s">
        <v>105</v>
      </c>
      <c r="D140" s="1" t="s">
        <v>122</v>
      </c>
      <c r="E140" s="5" t="s">
        <v>97</v>
      </c>
      <c r="F140" s="1" t="s">
        <v>99</v>
      </c>
      <c r="G140" s="5">
        <v>473</v>
      </c>
      <c r="H140" s="9" t="s">
        <v>148</v>
      </c>
      <c r="I140" s="3">
        <v>3360</v>
      </c>
      <c r="J140" s="3">
        <v>4638</v>
      </c>
      <c r="K140" s="2">
        <v>1278</v>
      </c>
      <c r="L140" s="2">
        <v>1086.3910446859979</v>
      </c>
      <c r="M140" s="14">
        <v>0.85007123997339429</v>
      </c>
    </row>
    <row r="141" spans="1:13" x14ac:dyDescent="0.25">
      <c r="A141" t="str">
        <f>Tabela1[[#This Row],[MÊS]]&amp;""&amp;Tabela1[[#This Row],[ANO]]</f>
        <v>SET2026</v>
      </c>
      <c r="B141" s="1">
        <v>2026</v>
      </c>
      <c r="C141" t="s">
        <v>105</v>
      </c>
      <c r="D141" s="1" t="s">
        <v>122</v>
      </c>
      <c r="E141" s="6" t="s">
        <v>97</v>
      </c>
      <c r="F141" s="1" t="s">
        <v>95</v>
      </c>
      <c r="G141" s="6">
        <v>269</v>
      </c>
      <c r="H141" s="9" t="s">
        <v>101</v>
      </c>
      <c r="I141" s="3">
        <v>585</v>
      </c>
      <c r="J141" s="3">
        <v>1430</v>
      </c>
      <c r="K141" s="2">
        <v>845</v>
      </c>
      <c r="L141" s="2">
        <v>551.50893291894056</v>
      </c>
      <c r="M141" s="14">
        <v>0.65267329339519597</v>
      </c>
    </row>
    <row r="142" spans="1:13" x14ac:dyDescent="0.25">
      <c r="A142" t="str">
        <f>Tabela1[[#This Row],[MÊS]]&amp;""&amp;Tabela1[[#This Row],[ANO]]</f>
        <v>SET2026</v>
      </c>
      <c r="B142" s="1">
        <v>2026</v>
      </c>
      <c r="C142" t="s">
        <v>105</v>
      </c>
      <c r="D142" s="1" t="s">
        <v>122</v>
      </c>
      <c r="E142" s="5" t="s">
        <v>97</v>
      </c>
      <c r="F142" s="1" t="s">
        <v>95</v>
      </c>
      <c r="G142" s="5">
        <v>350</v>
      </c>
      <c r="H142" s="9" t="s">
        <v>96</v>
      </c>
      <c r="I142" s="3">
        <v>620</v>
      </c>
      <c r="J142" s="3">
        <v>1170</v>
      </c>
      <c r="K142" s="2">
        <v>550</v>
      </c>
      <c r="L142" s="2">
        <v>417.7231913901195</v>
      </c>
      <c r="M142" s="14">
        <v>0.75949671161839905</v>
      </c>
    </row>
    <row r="143" spans="1:13" x14ac:dyDescent="0.25">
      <c r="A143" t="str">
        <f>Tabela1[[#This Row],[MÊS]]&amp;""&amp;Tabela1[[#This Row],[ANO]]</f>
        <v>SET2026</v>
      </c>
      <c r="B143" s="1">
        <v>2026</v>
      </c>
      <c r="C143" t="s">
        <v>105</v>
      </c>
      <c r="D143" s="1" t="s">
        <v>122</v>
      </c>
      <c r="E143" s="6" t="s">
        <v>97</v>
      </c>
      <c r="F143" s="1" t="s">
        <v>95</v>
      </c>
      <c r="G143" s="6">
        <v>473</v>
      </c>
      <c r="H143" s="9" t="s">
        <v>98</v>
      </c>
      <c r="I143" s="3">
        <v>4842</v>
      </c>
      <c r="J143" s="3">
        <v>5972</v>
      </c>
      <c r="K143" s="2">
        <v>1130</v>
      </c>
      <c r="L143" s="2">
        <v>963.25067501436558</v>
      </c>
      <c r="M143" s="14">
        <v>0.85243422567642968</v>
      </c>
    </row>
    <row r="144" spans="1:13" x14ac:dyDescent="0.25">
      <c r="A144" t="str">
        <f>Tabela1[[#This Row],[MÊS]]&amp;""&amp;Tabela1[[#This Row],[ANO]]</f>
        <v>SET2026</v>
      </c>
      <c r="B144" s="1">
        <v>2026</v>
      </c>
      <c r="C144" t="s">
        <v>105</v>
      </c>
      <c r="D144" s="1" t="s">
        <v>122</v>
      </c>
      <c r="E144" s="5" t="s">
        <v>97</v>
      </c>
      <c r="F144" s="1" t="s">
        <v>197</v>
      </c>
      <c r="G144" s="5">
        <v>269</v>
      </c>
      <c r="H144" s="9" t="s">
        <v>149</v>
      </c>
      <c r="I144" s="3">
        <v>3300</v>
      </c>
      <c r="J144" s="3">
        <v>4534</v>
      </c>
      <c r="K144" s="2">
        <v>1234</v>
      </c>
      <c r="L144" s="2">
        <v>1001.1825185728993</v>
      </c>
      <c r="M144" s="14">
        <v>0.81133105232811942</v>
      </c>
    </row>
    <row r="145" spans="1:13" x14ac:dyDescent="0.25">
      <c r="A145" t="str">
        <f>Tabela1[[#This Row],[MÊS]]&amp;""&amp;Tabela1[[#This Row],[ANO]]</f>
        <v>SET2026</v>
      </c>
      <c r="B145" s="1">
        <v>2026</v>
      </c>
      <c r="C145" t="s">
        <v>105</v>
      </c>
      <c r="D145" s="1" t="s">
        <v>122</v>
      </c>
      <c r="E145" s="6" t="s">
        <v>97</v>
      </c>
      <c r="F145" s="1" t="s">
        <v>197</v>
      </c>
      <c r="G145" s="6">
        <v>350</v>
      </c>
      <c r="H145" s="9" t="s">
        <v>150</v>
      </c>
      <c r="I145" s="3">
        <v>791</v>
      </c>
      <c r="J145" s="3">
        <v>2145</v>
      </c>
      <c r="K145" s="2">
        <v>1354</v>
      </c>
      <c r="L145" s="2">
        <v>914.74083739213813</v>
      </c>
      <c r="M145" s="14">
        <v>0.67558407488341077</v>
      </c>
    </row>
    <row r="146" spans="1:13" x14ac:dyDescent="0.25">
      <c r="A146" t="str">
        <f>Tabela1[[#This Row],[MÊS]]&amp;""&amp;Tabela1[[#This Row],[ANO]]</f>
        <v>SET2026</v>
      </c>
      <c r="B146" s="1">
        <v>2026</v>
      </c>
      <c r="C146" t="s">
        <v>105</v>
      </c>
      <c r="D146" s="1" t="s">
        <v>122</v>
      </c>
      <c r="E146" s="5" t="s">
        <v>29</v>
      </c>
      <c r="F146" s="1" t="s">
        <v>42</v>
      </c>
      <c r="G146" s="5">
        <v>350</v>
      </c>
      <c r="H146" s="9" t="s">
        <v>151</v>
      </c>
      <c r="I146" s="3">
        <v>2285</v>
      </c>
      <c r="J146" s="3">
        <v>3636</v>
      </c>
      <c r="K146" s="2">
        <v>1351</v>
      </c>
      <c r="L146" s="2">
        <v>1315.1160748065788</v>
      </c>
      <c r="M146" s="14">
        <v>0.97343898949413676</v>
      </c>
    </row>
    <row r="147" spans="1:13" x14ac:dyDescent="0.25">
      <c r="A147" t="str">
        <f>Tabela1[[#This Row],[MÊS]]&amp;""&amp;Tabela1[[#This Row],[ANO]]</f>
        <v>SET2026</v>
      </c>
      <c r="B147" s="1">
        <v>2026</v>
      </c>
      <c r="C147" t="s">
        <v>105</v>
      </c>
      <c r="D147" s="1" t="s">
        <v>122</v>
      </c>
      <c r="E147" s="6" t="s">
        <v>29</v>
      </c>
      <c r="F147" s="1" t="s">
        <v>42</v>
      </c>
      <c r="G147" s="6">
        <v>350</v>
      </c>
      <c r="H147" s="9" t="s">
        <v>152</v>
      </c>
      <c r="I147" s="3">
        <v>2146</v>
      </c>
      <c r="J147" s="3">
        <v>2750</v>
      </c>
      <c r="K147" s="2">
        <v>604</v>
      </c>
      <c r="L147" s="2">
        <v>401.55959112447835</v>
      </c>
      <c r="M147" s="14">
        <v>0.66483376013986484</v>
      </c>
    </row>
    <row r="148" spans="1:13" x14ac:dyDescent="0.25">
      <c r="A148" t="str">
        <f>Tabela1[[#This Row],[MÊS]]&amp;""&amp;Tabela1[[#This Row],[ANO]]</f>
        <v>SET2026</v>
      </c>
      <c r="B148" s="1">
        <v>2026</v>
      </c>
      <c r="C148" t="s">
        <v>105</v>
      </c>
      <c r="D148" s="1" t="s">
        <v>122</v>
      </c>
      <c r="E148" s="5" t="s">
        <v>29</v>
      </c>
      <c r="F148" s="1" t="s">
        <v>42</v>
      </c>
      <c r="G148" s="5">
        <v>350</v>
      </c>
      <c r="H148" s="9" t="s">
        <v>153</v>
      </c>
      <c r="I148" s="3">
        <v>1836</v>
      </c>
      <c r="J148" s="3">
        <v>2427</v>
      </c>
      <c r="K148" s="2">
        <v>591</v>
      </c>
      <c r="L148" s="2">
        <v>552.68971256346651</v>
      </c>
      <c r="M148" s="14">
        <v>0.93517717861838667</v>
      </c>
    </row>
    <row r="149" spans="1:13" x14ac:dyDescent="0.25">
      <c r="A149" t="str">
        <f>Tabela1[[#This Row],[MÊS]]&amp;""&amp;Tabela1[[#This Row],[ANO]]</f>
        <v>SET2026</v>
      </c>
      <c r="B149" s="1">
        <v>2026</v>
      </c>
      <c r="C149" t="s">
        <v>105</v>
      </c>
      <c r="D149" s="1" t="s">
        <v>122</v>
      </c>
      <c r="E149" s="6" t="s">
        <v>29</v>
      </c>
      <c r="F149" s="1" t="s">
        <v>42</v>
      </c>
      <c r="G149" s="6">
        <v>350</v>
      </c>
      <c r="H149" s="9" t="s">
        <v>154</v>
      </c>
      <c r="I149" s="3">
        <v>4592</v>
      </c>
      <c r="J149" s="3">
        <v>5784</v>
      </c>
      <c r="K149" s="2">
        <v>1192</v>
      </c>
      <c r="L149" s="2">
        <v>1082.178956231432</v>
      </c>
      <c r="M149" s="14">
        <v>0.9078682518720067</v>
      </c>
    </row>
    <row r="150" spans="1:13" x14ac:dyDescent="0.25">
      <c r="A150" t="str">
        <f>Tabela1[[#This Row],[MÊS]]&amp;""&amp;Tabela1[[#This Row],[ANO]]</f>
        <v>SET2026</v>
      </c>
      <c r="B150" s="1">
        <v>2026</v>
      </c>
      <c r="C150" t="s">
        <v>105</v>
      </c>
      <c r="D150" s="1" t="s">
        <v>122</v>
      </c>
      <c r="E150" s="5" t="s">
        <v>29</v>
      </c>
      <c r="F150" s="1" t="s">
        <v>42</v>
      </c>
      <c r="G150" s="5">
        <v>350</v>
      </c>
      <c r="H150" s="9" t="s">
        <v>155</v>
      </c>
      <c r="I150" s="3">
        <v>4328</v>
      </c>
      <c r="J150" s="3">
        <v>5838</v>
      </c>
      <c r="K150" s="2">
        <v>1510</v>
      </c>
      <c r="L150" s="2">
        <v>1108.6753563933407</v>
      </c>
      <c r="M150" s="14">
        <v>0.7342220903267157</v>
      </c>
    </row>
    <row r="151" spans="1:13" x14ac:dyDescent="0.25">
      <c r="A151" t="str">
        <f>Tabela1[[#This Row],[MÊS]]&amp;""&amp;Tabela1[[#This Row],[ANO]]</f>
        <v>SET2026</v>
      </c>
      <c r="B151" s="1">
        <v>2026</v>
      </c>
      <c r="C151" t="s">
        <v>105</v>
      </c>
      <c r="D151" s="1" t="s">
        <v>122</v>
      </c>
      <c r="E151" s="6" t="s">
        <v>25</v>
      </c>
      <c r="F151" s="1" t="s">
        <v>26</v>
      </c>
      <c r="G151" s="6">
        <v>473</v>
      </c>
      <c r="H151" s="9" t="s">
        <v>156</v>
      </c>
      <c r="I151" s="3">
        <v>3762</v>
      </c>
      <c r="J151" s="3">
        <v>4433</v>
      </c>
      <c r="K151" s="2">
        <v>671</v>
      </c>
      <c r="L151" s="2">
        <v>430.78630919895255</v>
      </c>
      <c r="M151" s="14">
        <v>0.64200642205507086</v>
      </c>
    </row>
    <row r="152" spans="1:13" x14ac:dyDescent="0.25">
      <c r="A152" t="str">
        <f>Tabela1[[#This Row],[MÊS]]&amp;""&amp;Tabela1[[#This Row],[ANO]]</f>
        <v>SET2026</v>
      </c>
      <c r="B152" s="1">
        <v>2026</v>
      </c>
      <c r="C152" t="s">
        <v>105</v>
      </c>
      <c r="D152" s="1" t="s">
        <v>122</v>
      </c>
      <c r="E152" s="5" t="s">
        <v>25</v>
      </c>
      <c r="F152" s="1" t="s">
        <v>26</v>
      </c>
      <c r="G152" s="5">
        <v>473</v>
      </c>
      <c r="H152" s="9" t="s">
        <v>157</v>
      </c>
      <c r="I152" s="3">
        <v>3422</v>
      </c>
      <c r="J152" s="3">
        <v>4029</v>
      </c>
      <c r="K152" s="2">
        <v>607</v>
      </c>
      <c r="L152" s="2">
        <v>441.25120537643994</v>
      </c>
      <c r="M152" s="14">
        <v>0.72693773538128492</v>
      </c>
    </row>
    <row r="153" spans="1:13" x14ac:dyDescent="0.25">
      <c r="A153" t="str">
        <f>Tabela1[[#This Row],[MÊS]]&amp;""&amp;Tabela1[[#This Row],[ANO]]</f>
        <v>SET2026</v>
      </c>
      <c r="B153" s="1">
        <v>2026</v>
      </c>
      <c r="C153" t="s">
        <v>105</v>
      </c>
      <c r="D153" s="1" t="s">
        <v>122</v>
      </c>
      <c r="E153" s="6" t="s">
        <v>25</v>
      </c>
      <c r="F153" s="1" t="s">
        <v>26</v>
      </c>
      <c r="G153" s="6">
        <v>473</v>
      </c>
      <c r="H153" s="9" t="s">
        <v>158</v>
      </c>
      <c r="I153" s="3">
        <v>4123</v>
      </c>
      <c r="J153" s="3">
        <v>4896</v>
      </c>
      <c r="K153" s="2">
        <v>773</v>
      </c>
      <c r="L153" s="2">
        <v>497.02938019958987</v>
      </c>
      <c r="M153" s="14">
        <v>0.64298755523879669</v>
      </c>
    </row>
    <row r="154" spans="1:13" x14ac:dyDescent="0.25">
      <c r="A154" t="str">
        <f>Tabela1[[#This Row],[MÊS]]&amp;""&amp;Tabela1[[#This Row],[ANO]]</f>
        <v>SET2026</v>
      </c>
      <c r="B154" s="1">
        <v>2026</v>
      </c>
      <c r="C154" t="s">
        <v>105</v>
      </c>
      <c r="D154" s="1" t="s">
        <v>122</v>
      </c>
      <c r="E154" s="5" t="s">
        <v>25</v>
      </c>
      <c r="F154" s="1" t="s">
        <v>26</v>
      </c>
      <c r="G154" s="5">
        <v>473</v>
      </c>
      <c r="H154" s="9" t="s">
        <v>159</v>
      </c>
      <c r="I154" s="3">
        <v>2655</v>
      </c>
      <c r="J154" s="3">
        <v>2923</v>
      </c>
      <c r="K154" s="2">
        <v>268</v>
      </c>
      <c r="L154" s="2">
        <v>232.49461015710156</v>
      </c>
      <c r="M154" s="14">
        <v>0.86751720207873717</v>
      </c>
    </row>
    <row r="155" spans="1:13" x14ac:dyDescent="0.25">
      <c r="A155" t="str">
        <f>Tabela1[[#This Row],[MÊS]]&amp;""&amp;Tabela1[[#This Row],[ANO]]</f>
        <v>SET2026</v>
      </c>
      <c r="B155" s="1">
        <v>2026</v>
      </c>
      <c r="C155" t="s">
        <v>105</v>
      </c>
      <c r="D155" s="1" t="s">
        <v>122</v>
      </c>
      <c r="E155" s="6" t="s">
        <v>25</v>
      </c>
      <c r="F155" s="1" t="s">
        <v>26</v>
      </c>
      <c r="G155" s="6">
        <v>269</v>
      </c>
      <c r="H155" s="9" t="s">
        <v>160</v>
      </c>
      <c r="I155" s="3">
        <v>4997</v>
      </c>
      <c r="J155" s="3">
        <v>5933</v>
      </c>
      <c r="K155" s="2">
        <v>936</v>
      </c>
      <c r="L155" s="2">
        <v>591.64512648151674</v>
      </c>
      <c r="M155" s="14">
        <v>0.63209949410418453</v>
      </c>
    </row>
    <row r="156" spans="1:13" x14ac:dyDescent="0.25">
      <c r="A156" t="str">
        <f>Tabela1[[#This Row],[MÊS]]&amp;""&amp;Tabela1[[#This Row],[ANO]]</f>
        <v>SET2026</v>
      </c>
      <c r="B156" s="1">
        <v>2026</v>
      </c>
      <c r="C156" t="s">
        <v>105</v>
      </c>
      <c r="D156" s="1" t="s">
        <v>122</v>
      </c>
      <c r="E156" s="5" t="s">
        <v>167</v>
      </c>
      <c r="F156" s="1" t="s">
        <v>193</v>
      </c>
      <c r="G156" s="5">
        <v>265</v>
      </c>
      <c r="H156" s="9" t="s">
        <v>161</v>
      </c>
      <c r="I156" s="3">
        <v>2430</v>
      </c>
      <c r="J156" s="3">
        <v>3535</v>
      </c>
      <c r="K156" s="2">
        <v>1105</v>
      </c>
      <c r="L156" s="2">
        <v>978.85224961043536</v>
      </c>
      <c r="M156" s="14">
        <v>0.88583913991894603</v>
      </c>
    </row>
    <row r="157" spans="1:13" x14ac:dyDescent="0.25">
      <c r="A157" t="str">
        <f>Tabela1[[#This Row],[MÊS]]&amp;""&amp;Tabela1[[#This Row],[ANO]]</f>
        <v>SET2026</v>
      </c>
      <c r="B157" s="1">
        <v>2026</v>
      </c>
      <c r="C157" t="s">
        <v>105</v>
      </c>
      <c r="D157" s="1" t="s">
        <v>122</v>
      </c>
      <c r="E157" s="6" t="s">
        <v>167</v>
      </c>
      <c r="F157" s="1" t="s">
        <v>193</v>
      </c>
      <c r="G157" s="6">
        <v>473</v>
      </c>
      <c r="H157" s="9" t="s">
        <v>162</v>
      </c>
      <c r="I157" s="3">
        <v>3176</v>
      </c>
      <c r="J157" s="3">
        <v>4493</v>
      </c>
      <c r="K157" s="2">
        <v>1317</v>
      </c>
      <c r="L157" s="2">
        <v>1153.7188256900595</v>
      </c>
      <c r="M157" s="14">
        <v>0.87602036878516287</v>
      </c>
    </row>
    <row r="158" spans="1:13" x14ac:dyDescent="0.25">
      <c r="A158" t="str">
        <f>Tabela1[[#This Row],[MÊS]]&amp;""&amp;Tabela1[[#This Row],[ANO]]</f>
        <v>SET2026</v>
      </c>
      <c r="B158" s="1">
        <v>2026</v>
      </c>
      <c r="C158" t="s">
        <v>105</v>
      </c>
      <c r="D158" s="1" t="s">
        <v>122</v>
      </c>
      <c r="E158" s="5" t="s">
        <v>97</v>
      </c>
      <c r="F158" s="1" t="s">
        <v>95</v>
      </c>
      <c r="G158" s="5">
        <v>473</v>
      </c>
      <c r="H158" s="9" t="s">
        <v>163</v>
      </c>
      <c r="I158" s="3">
        <v>2931</v>
      </c>
      <c r="J158" s="3">
        <v>3338</v>
      </c>
      <c r="K158" s="2">
        <v>407</v>
      </c>
      <c r="L158" s="2">
        <v>296.4021508558497</v>
      </c>
      <c r="M158" s="14">
        <v>0.72826081291363565</v>
      </c>
    </row>
    <row r="159" spans="1:13" x14ac:dyDescent="0.25">
      <c r="A159" t="str">
        <f>Tabela1[[#This Row],[MÊS]]&amp;""&amp;Tabela1[[#This Row],[ANO]]</f>
        <v>SET2026</v>
      </c>
      <c r="B159" s="1">
        <v>2026</v>
      </c>
      <c r="C159" t="s">
        <v>105</v>
      </c>
      <c r="D159" s="1" t="s">
        <v>122</v>
      </c>
      <c r="E159" s="6" t="s">
        <v>97</v>
      </c>
      <c r="F159" s="1" t="s">
        <v>95</v>
      </c>
      <c r="G159" s="6">
        <v>269</v>
      </c>
      <c r="H159" s="9" t="s">
        <v>164</v>
      </c>
      <c r="I159" s="3">
        <v>1349</v>
      </c>
      <c r="J159" s="3">
        <v>2396</v>
      </c>
      <c r="K159" s="2">
        <v>1047</v>
      </c>
      <c r="L159" s="2">
        <v>749.5219502046657</v>
      </c>
      <c r="M159" s="14">
        <v>0.71587578816109432</v>
      </c>
    </row>
    <row r="160" spans="1:13" x14ac:dyDescent="0.25">
      <c r="A160" t="str">
        <f>Tabela1[[#This Row],[MÊS]]&amp;""&amp;Tabela1[[#This Row],[ANO]]</f>
        <v>SET2026</v>
      </c>
      <c r="B160" s="1">
        <v>2026</v>
      </c>
      <c r="C160" t="s">
        <v>105</v>
      </c>
      <c r="D160" s="1" t="s">
        <v>122</v>
      </c>
      <c r="E160" s="5" t="s">
        <v>97</v>
      </c>
      <c r="F160" s="1" t="s">
        <v>95</v>
      </c>
      <c r="G160" s="5">
        <v>350</v>
      </c>
      <c r="H160" s="9" t="s">
        <v>165</v>
      </c>
      <c r="I160" s="3">
        <v>4519</v>
      </c>
      <c r="J160" s="3">
        <v>5432</v>
      </c>
      <c r="K160" s="2">
        <v>913</v>
      </c>
      <c r="L160" s="2">
        <v>583.33094958228583</v>
      </c>
      <c r="M160" s="14">
        <v>0.6389167027188235</v>
      </c>
    </row>
    <row r="161" spans="1:13" x14ac:dyDescent="0.25">
      <c r="A161" t="str">
        <f>Tabela1[[#This Row],[MÊS]]&amp;""&amp;Tabela1[[#This Row],[ANO]]</f>
        <v>SET2026</v>
      </c>
      <c r="B161" s="1">
        <v>2026</v>
      </c>
      <c r="C161" t="s">
        <v>105</v>
      </c>
      <c r="D161" s="1" t="s">
        <v>122</v>
      </c>
      <c r="E161" s="11" t="s">
        <v>25</v>
      </c>
      <c r="F161" s="1" t="s">
        <v>26</v>
      </c>
      <c r="G161" s="11">
        <v>269</v>
      </c>
      <c r="H161" s="10" t="s">
        <v>166</v>
      </c>
      <c r="I161" s="3">
        <v>3035</v>
      </c>
      <c r="J161" s="3">
        <v>3759</v>
      </c>
      <c r="K161" s="2">
        <v>724</v>
      </c>
      <c r="L161" s="2">
        <v>710.98085931853939</v>
      </c>
      <c r="M161" s="14">
        <v>0.98201776148969533</v>
      </c>
    </row>
    <row r="162" spans="1:13" x14ac:dyDescent="0.25">
      <c r="A162" t="str">
        <f>Tabela1[[#This Row],[MÊS]]&amp;""&amp;Tabela1[[#This Row],[ANO]]</f>
        <v>SET2026</v>
      </c>
      <c r="B162" s="1">
        <v>2026</v>
      </c>
      <c r="C162" t="s">
        <v>105</v>
      </c>
      <c r="D162" s="1" t="s">
        <v>168</v>
      </c>
      <c r="E162" s="5" t="s">
        <v>29</v>
      </c>
      <c r="F162" s="1" t="s">
        <v>42</v>
      </c>
      <c r="G162" s="5">
        <v>600</v>
      </c>
      <c r="H162" s="8" t="s">
        <v>169</v>
      </c>
      <c r="I162" s="3">
        <v>4762</v>
      </c>
      <c r="J162" s="3">
        <v>4948</v>
      </c>
      <c r="K162" s="2">
        <v>186</v>
      </c>
      <c r="L162" s="2">
        <v>168.05780302763853</v>
      </c>
      <c r="M162" s="14">
        <v>0.90353657541741139</v>
      </c>
    </row>
    <row r="163" spans="1:13" x14ac:dyDescent="0.25">
      <c r="A163" t="str">
        <f>Tabela1[[#This Row],[MÊS]]&amp;""&amp;Tabela1[[#This Row],[ANO]]</f>
        <v>SET2026</v>
      </c>
      <c r="B163" s="1">
        <v>2026</v>
      </c>
      <c r="C163" t="s">
        <v>105</v>
      </c>
      <c r="D163" s="1" t="s">
        <v>168</v>
      </c>
      <c r="E163" s="6" t="s">
        <v>29</v>
      </c>
      <c r="F163" s="1" t="s">
        <v>42</v>
      </c>
      <c r="G163" s="6">
        <v>600</v>
      </c>
      <c r="H163" s="9" t="s">
        <v>170</v>
      </c>
      <c r="I163" s="3">
        <v>2645</v>
      </c>
      <c r="J163" s="3">
        <v>4081</v>
      </c>
      <c r="K163" s="2">
        <v>1436</v>
      </c>
      <c r="L163" s="2">
        <v>1068.8128693416197</v>
      </c>
      <c r="M163" s="14">
        <v>0.74429865553037589</v>
      </c>
    </row>
    <row r="164" spans="1:13" x14ac:dyDescent="0.25">
      <c r="A164" t="str">
        <f>Tabela1[[#This Row],[MÊS]]&amp;""&amp;Tabela1[[#This Row],[ANO]]</f>
        <v>SET2026</v>
      </c>
      <c r="B164" s="1">
        <v>2026</v>
      </c>
      <c r="C164" t="s">
        <v>105</v>
      </c>
      <c r="D164" s="1" t="s">
        <v>168</v>
      </c>
      <c r="E164" s="5" t="s">
        <v>29</v>
      </c>
      <c r="F164" s="1" t="s">
        <v>42</v>
      </c>
      <c r="G164" s="5">
        <v>600</v>
      </c>
      <c r="H164" s="9" t="s">
        <v>171</v>
      </c>
      <c r="I164" s="3">
        <v>3802</v>
      </c>
      <c r="J164" s="3">
        <v>4933</v>
      </c>
      <c r="K164" s="2">
        <v>1131</v>
      </c>
      <c r="L164" s="2">
        <v>730.49043231025871</v>
      </c>
      <c r="M164" s="14">
        <v>0.64588013466866379</v>
      </c>
    </row>
    <row r="165" spans="1:13" x14ac:dyDescent="0.25">
      <c r="A165" t="str">
        <f>Tabela1[[#This Row],[MÊS]]&amp;""&amp;Tabela1[[#This Row],[ANO]]</f>
        <v>SET2026</v>
      </c>
      <c r="B165" s="1">
        <v>2026</v>
      </c>
      <c r="C165" t="s">
        <v>105</v>
      </c>
      <c r="D165" s="1" t="s">
        <v>168</v>
      </c>
      <c r="E165" s="6" t="s">
        <v>29</v>
      </c>
      <c r="F165" s="1" t="s">
        <v>42</v>
      </c>
      <c r="G165" s="6">
        <v>300</v>
      </c>
      <c r="H165" s="9" t="s">
        <v>172</v>
      </c>
      <c r="I165" s="3">
        <v>560</v>
      </c>
      <c r="J165" s="3">
        <v>1811</v>
      </c>
      <c r="K165" s="2">
        <v>1251</v>
      </c>
      <c r="L165" s="2">
        <v>845.68242943682287</v>
      </c>
      <c r="M165" s="14">
        <v>0.67600513943790796</v>
      </c>
    </row>
    <row r="166" spans="1:13" x14ac:dyDescent="0.25">
      <c r="A166" t="str">
        <f>Tabela1[[#This Row],[MÊS]]&amp;""&amp;Tabela1[[#This Row],[ANO]]</f>
        <v>SET2026</v>
      </c>
      <c r="B166" s="1">
        <v>2026</v>
      </c>
      <c r="C166" t="s">
        <v>105</v>
      </c>
      <c r="D166" s="1" t="s">
        <v>168</v>
      </c>
      <c r="E166" s="5" t="s">
        <v>29</v>
      </c>
      <c r="F166" s="1" t="s">
        <v>42</v>
      </c>
      <c r="G166" s="5">
        <v>300</v>
      </c>
      <c r="H166" s="10" t="s">
        <v>173</v>
      </c>
      <c r="I166" s="3">
        <v>5401</v>
      </c>
      <c r="J166" s="3">
        <v>5653</v>
      </c>
      <c r="K166" s="2">
        <v>252</v>
      </c>
      <c r="L166" s="2">
        <v>202.38182846133682</v>
      </c>
      <c r="M166" s="14">
        <v>0.80310249389419375</v>
      </c>
    </row>
    <row r="167" spans="1:13" x14ac:dyDescent="0.25">
      <c r="A167" t="str">
        <f>Tabela1[[#This Row],[MÊS]]&amp;""&amp;Tabela1[[#This Row],[ANO]]</f>
        <v>SET2026</v>
      </c>
      <c r="B167" s="1">
        <v>2026</v>
      </c>
      <c r="C167" t="s">
        <v>105</v>
      </c>
      <c r="D167" s="1" t="s">
        <v>168</v>
      </c>
      <c r="E167" s="6" t="s">
        <v>29</v>
      </c>
      <c r="F167" s="1" t="s">
        <v>42</v>
      </c>
      <c r="G167" s="6">
        <v>600</v>
      </c>
      <c r="H167" s="9" t="s">
        <v>174</v>
      </c>
      <c r="I167" s="3">
        <v>940</v>
      </c>
      <c r="J167" s="3">
        <v>1774</v>
      </c>
      <c r="K167" s="2">
        <v>834</v>
      </c>
      <c r="L167" s="2">
        <v>500.42595184058234</v>
      </c>
      <c r="M167" s="14">
        <v>0.60003111731484693</v>
      </c>
    </row>
    <row r="168" spans="1:13" x14ac:dyDescent="0.25">
      <c r="A168" t="str">
        <f>Tabela1[[#This Row],[MÊS]]&amp;""&amp;Tabela1[[#This Row],[ANO]]</f>
        <v>SET2026</v>
      </c>
      <c r="B168" s="1">
        <v>2026</v>
      </c>
      <c r="C168" t="s">
        <v>105</v>
      </c>
      <c r="D168" s="1" t="s">
        <v>168</v>
      </c>
      <c r="E168" s="5" t="s">
        <v>29</v>
      </c>
      <c r="F168" s="1" t="s">
        <v>42</v>
      </c>
      <c r="G168" s="5">
        <v>355</v>
      </c>
      <c r="H168" s="9" t="s">
        <v>175</v>
      </c>
      <c r="I168" s="3">
        <v>1141</v>
      </c>
      <c r="J168" s="3">
        <v>2390</v>
      </c>
      <c r="K168" s="2">
        <v>1249</v>
      </c>
      <c r="L168" s="2">
        <v>797.21897512243629</v>
      </c>
      <c r="M168" s="14">
        <v>0.638285808744945</v>
      </c>
    </row>
    <row r="169" spans="1:13" x14ac:dyDescent="0.25">
      <c r="A169" t="str">
        <f>Tabela1[[#This Row],[MÊS]]&amp;""&amp;Tabela1[[#This Row],[ANO]]</f>
        <v>SET2026</v>
      </c>
      <c r="B169" s="1">
        <v>2026</v>
      </c>
      <c r="C169" t="s">
        <v>105</v>
      </c>
      <c r="D169" s="1" t="s">
        <v>168</v>
      </c>
      <c r="E169" s="6" t="s">
        <v>167</v>
      </c>
      <c r="F169" s="1" t="s">
        <v>193</v>
      </c>
      <c r="G169" s="6">
        <v>600</v>
      </c>
      <c r="H169" s="9" t="s">
        <v>176</v>
      </c>
      <c r="I169" s="3">
        <v>4003</v>
      </c>
      <c r="J169" s="3">
        <v>5329</v>
      </c>
      <c r="K169" s="2">
        <v>1326</v>
      </c>
      <c r="L169" s="2">
        <v>868.0570567414893</v>
      </c>
      <c r="M169" s="14">
        <v>0.65464333087593463</v>
      </c>
    </row>
    <row r="170" spans="1:13" x14ac:dyDescent="0.25">
      <c r="A170" t="str">
        <f>Tabela1[[#This Row],[MÊS]]&amp;""&amp;Tabela1[[#This Row],[ANO]]</f>
        <v>SET2026</v>
      </c>
      <c r="B170" s="1">
        <v>2026</v>
      </c>
      <c r="C170" t="s">
        <v>105</v>
      </c>
      <c r="D170" s="1" t="s">
        <v>168</v>
      </c>
      <c r="E170" s="5" t="s">
        <v>167</v>
      </c>
      <c r="F170" s="1" t="s">
        <v>193</v>
      </c>
      <c r="G170" s="5">
        <v>600</v>
      </c>
      <c r="H170" s="9" t="s">
        <v>177</v>
      </c>
      <c r="I170" s="3">
        <v>3002</v>
      </c>
      <c r="J170" s="3">
        <v>3418</v>
      </c>
      <c r="K170" s="2">
        <v>416</v>
      </c>
      <c r="L170" s="2">
        <v>266.52933233789582</v>
      </c>
      <c r="M170" s="14">
        <v>0.64069551042763417</v>
      </c>
    </row>
    <row r="171" spans="1:13" x14ac:dyDescent="0.25">
      <c r="A171" t="str">
        <f>Tabela1[[#This Row],[MÊS]]&amp;""&amp;Tabela1[[#This Row],[ANO]]</f>
        <v>SET2026</v>
      </c>
      <c r="B171" s="1">
        <v>2026</v>
      </c>
      <c r="C171" t="s">
        <v>105</v>
      </c>
      <c r="D171" s="1" t="s">
        <v>168</v>
      </c>
      <c r="E171" s="6" t="s">
        <v>97</v>
      </c>
      <c r="F171" s="1" t="s">
        <v>99</v>
      </c>
      <c r="G171" s="6">
        <v>330</v>
      </c>
      <c r="H171" s="9" t="s">
        <v>178</v>
      </c>
      <c r="I171" s="3">
        <v>2389</v>
      </c>
      <c r="J171" s="3">
        <v>3803</v>
      </c>
      <c r="K171" s="2">
        <v>1414</v>
      </c>
      <c r="L171" s="2">
        <v>1330.9189605669876</v>
      </c>
      <c r="M171" s="14">
        <v>0.94124396079702088</v>
      </c>
    </row>
    <row r="172" spans="1:13" x14ac:dyDescent="0.25">
      <c r="A172" t="str">
        <f>Tabela1[[#This Row],[MÊS]]&amp;""&amp;Tabela1[[#This Row],[ANO]]</f>
        <v>SET2026</v>
      </c>
      <c r="B172" s="1">
        <v>2026</v>
      </c>
      <c r="C172" t="s">
        <v>105</v>
      </c>
      <c r="D172" s="1" t="s">
        <v>168</v>
      </c>
      <c r="E172" s="5" t="s">
        <v>97</v>
      </c>
      <c r="F172" s="1" t="s">
        <v>95</v>
      </c>
      <c r="G172" s="5">
        <v>355</v>
      </c>
      <c r="H172" s="9" t="s">
        <v>179</v>
      </c>
      <c r="I172" s="3">
        <v>1200</v>
      </c>
      <c r="J172" s="3">
        <v>2318</v>
      </c>
      <c r="K172" s="2">
        <v>1118</v>
      </c>
      <c r="L172" s="2">
        <v>863.62828579470329</v>
      </c>
      <c r="M172" s="14">
        <v>0.77247610536198863</v>
      </c>
    </row>
    <row r="173" spans="1:13" x14ac:dyDescent="0.25">
      <c r="A173" t="str">
        <f>Tabela1[[#This Row],[MÊS]]&amp;""&amp;Tabela1[[#This Row],[ANO]]</f>
        <v>SET2026</v>
      </c>
      <c r="B173" s="1">
        <v>2026</v>
      </c>
      <c r="C173" t="s">
        <v>105</v>
      </c>
      <c r="D173" s="1" t="s">
        <v>168</v>
      </c>
      <c r="E173" s="6" t="s">
        <v>97</v>
      </c>
      <c r="F173" s="1" t="s">
        <v>95</v>
      </c>
      <c r="G173" s="6">
        <v>600</v>
      </c>
      <c r="H173" s="9" t="s">
        <v>180</v>
      </c>
      <c r="I173" s="3">
        <v>3915</v>
      </c>
      <c r="J173" s="3">
        <v>4901</v>
      </c>
      <c r="K173" s="2">
        <v>986</v>
      </c>
      <c r="L173" s="2">
        <v>862.15695511095578</v>
      </c>
      <c r="M173" s="14">
        <v>0.87439853459528982</v>
      </c>
    </row>
    <row r="174" spans="1:13" x14ac:dyDescent="0.25">
      <c r="A174" t="str">
        <f>Tabela1[[#This Row],[MÊS]]&amp;""&amp;Tabela1[[#This Row],[ANO]]</f>
        <v>SET2026</v>
      </c>
      <c r="B174" s="1">
        <v>2026</v>
      </c>
      <c r="C174" t="s">
        <v>105</v>
      </c>
      <c r="D174" s="1" t="s">
        <v>168</v>
      </c>
      <c r="E174" s="5" t="s">
        <v>97</v>
      </c>
      <c r="F174" s="1" t="s">
        <v>95</v>
      </c>
      <c r="G174" s="5">
        <v>600</v>
      </c>
      <c r="H174" s="9" t="s">
        <v>181</v>
      </c>
      <c r="I174" s="3">
        <v>2341</v>
      </c>
      <c r="J174" s="3">
        <v>2765</v>
      </c>
      <c r="K174" s="2">
        <v>424</v>
      </c>
      <c r="L174" s="2">
        <v>294.89414205137575</v>
      </c>
      <c r="M174" s="14">
        <v>0.69550505200796164</v>
      </c>
    </row>
    <row r="175" spans="1:13" x14ac:dyDescent="0.25">
      <c r="A175" t="str">
        <f>Tabela1[[#This Row],[MÊS]]&amp;""&amp;Tabela1[[#This Row],[ANO]]</f>
        <v>SET2026</v>
      </c>
      <c r="B175" s="1">
        <v>2026</v>
      </c>
      <c r="C175" t="s">
        <v>105</v>
      </c>
      <c r="D175" s="1" t="s">
        <v>168</v>
      </c>
      <c r="E175" s="6" t="s">
        <v>92</v>
      </c>
      <c r="F175" s="1" t="s">
        <v>194</v>
      </c>
      <c r="G175" s="6">
        <v>970</v>
      </c>
      <c r="H175" s="9" t="s">
        <v>182</v>
      </c>
      <c r="I175" s="3">
        <v>4137</v>
      </c>
      <c r="J175" s="3">
        <v>5100</v>
      </c>
      <c r="K175" s="2">
        <v>963</v>
      </c>
      <c r="L175" s="2">
        <v>909.06577027762819</v>
      </c>
      <c r="M175" s="14">
        <v>0.94399353092173233</v>
      </c>
    </row>
    <row r="176" spans="1:13" x14ac:dyDescent="0.25">
      <c r="A176" t="str">
        <f>Tabela1[[#This Row],[MÊS]]&amp;""&amp;Tabela1[[#This Row],[ANO]]</f>
        <v>SET2026</v>
      </c>
      <c r="B176" s="1">
        <v>2026</v>
      </c>
      <c r="C176" t="s">
        <v>105</v>
      </c>
      <c r="D176" s="1" t="s">
        <v>168</v>
      </c>
      <c r="E176" s="5" t="s">
        <v>92</v>
      </c>
      <c r="F176" s="1" t="s">
        <v>195</v>
      </c>
      <c r="G176" s="5">
        <v>900</v>
      </c>
      <c r="H176" s="9" t="s">
        <v>183</v>
      </c>
      <c r="I176" s="3">
        <v>659</v>
      </c>
      <c r="J176" s="3">
        <v>1252</v>
      </c>
      <c r="K176" s="2">
        <v>593</v>
      </c>
      <c r="L176" s="2">
        <v>578.11053890535993</v>
      </c>
      <c r="M176" s="14">
        <v>0.97489129663635743</v>
      </c>
    </row>
    <row r="177" spans="1:13" x14ac:dyDescent="0.25">
      <c r="A177" t="str">
        <f>Tabela1[[#This Row],[MÊS]]&amp;""&amp;Tabela1[[#This Row],[ANO]]</f>
        <v>SET2026</v>
      </c>
      <c r="B177" s="1">
        <v>2026</v>
      </c>
      <c r="C177" t="s">
        <v>105</v>
      </c>
      <c r="D177" s="1" t="s">
        <v>168</v>
      </c>
      <c r="E177" s="6" t="s">
        <v>92</v>
      </c>
      <c r="F177" s="1" t="s">
        <v>195</v>
      </c>
      <c r="G177" s="6">
        <v>900</v>
      </c>
      <c r="H177" s="9" t="s">
        <v>184</v>
      </c>
      <c r="I177" s="3">
        <v>1549</v>
      </c>
      <c r="J177" s="3">
        <v>2798</v>
      </c>
      <c r="K177" s="2">
        <v>1249</v>
      </c>
      <c r="L177" s="2">
        <v>987.17720437282503</v>
      </c>
      <c r="M177" s="14">
        <v>0.79037406274845878</v>
      </c>
    </row>
    <row r="178" spans="1:13" x14ac:dyDescent="0.25">
      <c r="A178" t="str">
        <f>Tabela1[[#This Row],[MÊS]]&amp;""&amp;Tabela1[[#This Row],[ANO]]</f>
        <v>SET2026</v>
      </c>
      <c r="B178" s="1">
        <v>2026</v>
      </c>
      <c r="C178" t="s">
        <v>105</v>
      </c>
      <c r="D178" s="1" t="s">
        <v>168</v>
      </c>
      <c r="E178" s="5" t="s">
        <v>29</v>
      </c>
      <c r="F178" s="1" t="s">
        <v>196</v>
      </c>
      <c r="G178" s="5">
        <v>605</v>
      </c>
      <c r="H178" s="9" t="s">
        <v>185</v>
      </c>
      <c r="I178" s="3">
        <v>2242</v>
      </c>
      <c r="J178" s="3">
        <v>3561</v>
      </c>
      <c r="K178" s="2">
        <v>1319</v>
      </c>
      <c r="L178" s="2">
        <v>1156.5098831647504</v>
      </c>
      <c r="M178" s="14">
        <v>0.87680809944257043</v>
      </c>
    </row>
    <row r="179" spans="1:13" x14ac:dyDescent="0.25">
      <c r="A179" t="str">
        <f>Tabela1[[#This Row],[MÊS]]&amp;""&amp;Tabela1[[#This Row],[ANO]]</f>
        <v>SET2026</v>
      </c>
      <c r="B179" s="1">
        <v>2026</v>
      </c>
      <c r="C179" t="s">
        <v>105</v>
      </c>
      <c r="D179" s="1" t="s">
        <v>168</v>
      </c>
      <c r="E179" s="6" t="s">
        <v>97</v>
      </c>
      <c r="F179" s="1" t="s">
        <v>95</v>
      </c>
      <c r="G179" s="6">
        <v>600</v>
      </c>
      <c r="H179" s="9" t="s">
        <v>186</v>
      </c>
      <c r="I179" s="3">
        <v>1672</v>
      </c>
      <c r="J179" s="3">
        <v>3169</v>
      </c>
      <c r="K179" s="2">
        <v>1497</v>
      </c>
      <c r="L179" s="2">
        <v>1407.5497765529117</v>
      </c>
      <c r="M179" s="14">
        <v>0.94024701172539193</v>
      </c>
    </row>
    <row r="180" spans="1:13" x14ac:dyDescent="0.25">
      <c r="A180" t="str">
        <f>Tabela1[[#This Row],[MÊS]]&amp;""&amp;Tabela1[[#This Row],[ANO]]</f>
        <v>SET2026</v>
      </c>
      <c r="B180" s="1">
        <v>2026</v>
      </c>
      <c r="C180" t="s">
        <v>105</v>
      </c>
      <c r="D180" s="1" t="s">
        <v>168</v>
      </c>
      <c r="E180" s="5" t="s">
        <v>97</v>
      </c>
      <c r="F180" s="1" t="s">
        <v>99</v>
      </c>
      <c r="G180" s="5">
        <v>330</v>
      </c>
      <c r="H180" s="9" t="s">
        <v>187</v>
      </c>
      <c r="I180" s="3">
        <v>3532</v>
      </c>
      <c r="J180" s="3">
        <v>4334</v>
      </c>
      <c r="K180" s="2">
        <v>802</v>
      </c>
      <c r="L180" s="2">
        <v>640.6221163452966</v>
      </c>
      <c r="M180" s="14">
        <v>0.79878069369737736</v>
      </c>
    </row>
    <row r="181" spans="1:13" x14ac:dyDescent="0.25">
      <c r="A181" t="str">
        <f>Tabela1[[#This Row],[MÊS]]&amp;""&amp;Tabela1[[#This Row],[ANO]]</f>
        <v>SET2026</v>
      </c>
      <c r="B181" s="1">
        <v>2026</v>
      </c>
      <c r="C181" t="s">
        <v>105</v>
      </c>
      <c r="D181" s="1" t="s">
        <v>168</v>
      </c>
      <c r="E181" s="6" t="s">
        <v>92</v>
      </c>
      <c r="F181" s="1" t="s">
        <v>194</v>
      </c>
      <c r="G181" s="6">
        <v>970</v>
      </c>
      <c r="H181" s="9" t="s">
        <v>188</v>
      </c>
      <c r="I181" s="3">
        <v>812</v>
      </c>
      <c r="J181" s="3">
        <v>1766</v>
      </c>
      <c r="K181" s="2">
        <v>954</v>
      </c>
      <c r="L181" s="2">
        <v>738.35668828410064</v>
      </c>
      <c r="M181" s="14">
        <v>0.77395879275062962</v>
      </c>
    </row>
    <row r="182" spans="1:13" x14ac:dyDescent="0.25">
      <c r="A182" t="str">
        <f>Tabela1[[#This Row],[MÊS]]&amp;""&amp;Tabela1[[#This Row],[ANO]]</f>
        <v>SET2026</v>
      </c>
      <c r="B182" s="1">
        <v>2026</v>
      </c>
      <c r="C182" t="s">
        <v>105</v>
      </c>
      <c r="D182" s="1" t="s">
        <v>168</v>
      </c>
      <c r="E182" s="5" t="s">
        <v>92</v>
      </c>
      <c r="F182" s="1" t="s">
        <v>195</v>
      </c>
      <c r="G182" s="5">
        <v>900</v>
      </c>
      <c r="H182" s="9" t="s">
        <v>189</v>
      </c>
      <c r="I182" s="3">
        <v>4374</v>
      </c>
      <c r="J182" s="3">
        <v>5810</v>
      </c>
      <c r="K182" s="2">
        <v>1436</v>
      </c>
      <c r="L182" s="2">
        <v>1316.4681719072562</v>
      </c>
      <c r="M182" s="14">
        <v>0.91676056539502515</v>
      </c>
    </row>
    <row r="183" spans="1:13" x14ac:dyDescent="0.25">
      <c r="A183" t="str">
        <f>Tabela1[[#This Row],[MÊS]]&amp;""&amp;Tabela1[[#This Row],[ANO]]</f>
        <v>SET2026</v>
      </c>
      <c r="B183" s="1">
        <v>2026</v>
      </c>
      <c r="C183" t="s">
        <v>105</v>
      </c>
      <c r="D183" s="1" t="s">
        <v>168</v>
      </c>
      <c r="E183" s="6" t="s">
        <v>92</v>
      </c>
      <c r="F183" s="1" t="s">
        <v>195</v>
      </c>
      <c r="G183" s="6">
        <v>900</v>
      </c>
      <c r="H183" s="9" t="s">
        <v>190</v>
      </c>
      <c r="I183" s="3">
        <v>4968</v>
      </c>
      <c r="J183" s="3">
        <v>5531</v>
      </c>
      <c r="K183" s="2">
        <v>563</v>
      </c>
      <c r="L183" s="2">
        <v>537.25844985195647</v>
      </c>
      <c r="M183" s="14">
        <v>0.9542778860603135</v>
      </c>
    </row>
    <row r="184" spans="1:13" x14ac:dyDescent="0.25">
      <c r="A184" t="str">
        <f>Tabela1[[#This Row],[MÊS]]&amp;""&amp;Tabela1[[#This Row],[ANO]]</f>
        <v>SET2026</v>
      </c>
      <c r="B184" s="1">
        <v>2026</v>
      </c>
      <c r="C184" t="s">
        <v>105</v>
      </c>
      <c r="D184" s="1" t="s">
        <v>168</v>
      </c>
      <c r="E184" s="5" t="s">
        <v>92</v>
      </c>
      <c r="F184" s="1" t="s">
        <v>195</v>
      </c>
      <c r="G184" s="5">
        <v>900</v>
      </c>
      <c r="H184" s="9" t="s">
        <v>191</v>
      </c>
      <c r="I184" s="3">
        <v>2675</v>
      </c>
      <c r="J184" s="3">
        <v>3179</v>
      </c>
      <c r="K184" s="2">
        <v>504</v>
      </c>
      <c r="L184" s="2">
        <v>336.14673369226438</v>
      </c>
      <c r="M184" s="14">
        <v>0.66695780494496903</v>
      </c>
    </row>
    <row r="185" spans="1:13" x14ac:dyDescent="0.25">
      <c r="A185" t="str">
        <f>Tabela1[[#This Row],[MÊS]]&amp;""&amp;Tabela1[[#This Row],[ANO]]</f>
        <v>SET2026</v>
      </c>
      <c r="B185" s="1">
        <v>2026</v>
      </c>
      <c r="C185" t="s">
        <v>105</v>
      </c>
      <c r="D185" s="1" t="s">
        <v>168</v>
      </c>
      <c r="E185" s="6" t="s">
        <v>92</v>
      </c>
      <c r="F185" s="1" t="s">
        <v>195</v>
      </c>
      <c r="G185" s="6">
        <v>900</v>
      </c>
      <c r="H185" s="9" t="s">
        <v>192</v>
      </c>
      <c r="I185" s="3">
        <v>2146</v>
      </c>
      <c r="J185" s="3">
        <v>2441</v>
      </c>
      <c r="K185" s="2">
        <v>295</v>
      </c>
      <c r="L185" s="2">
        <v>256.84782069465388</v>
      </c>
      <c r="M185" s="14">
        <v>0.87067057862594532</v>
      </c>
    </row>
  </sheetData>
  <phoneticPr fontId="3" type="noConversion"/>
  <pageMargins left="0.511811024" right="0.511811024" top="0.78740157499999996" bottom="0.78740157499999996" header="0.31496062000000002" footer="0.31496062000000002"/>
  <pageSetup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aeHora xmlns="02d9cbab-ad25-41d0-a23c-0a79e810c622" xsi:nil="true"/>
    <lcf76f155ced4ddcb4097134ff3c332f xmlns="02d9cbab-ad25-41d0-a23c-0a79e810c622">
      <Terms xmlns="http://schemas.microsoft.com/office/infopath/2007/PartnerControls"/>
    </lcf76f155ced4ddcb4097134ff3c332f>
    <TaxCatchAll xmlns="fb2a5e4b-38cb-4474-8ba9-3f89d35004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7F34DC23B061478CD0ACB118401441" ma:contentTypeVersion="13" ma:contentTypeDescription="Create a new document." ma:contentTypeScope="" ma:versionID="99eb3a089b6c5a70121f7c199d1c280d">
  <xsd:schema xmlns:xsd="http://www.w3.org/2001/XMLSchema" xmlns:xs="http://www.w3.org/2001/XMLSchema" xmlns:p="http://schemas.microsoft.com/office/2006/metadata/properties" xmlns:ns2="02d9cbab-ad25-41d0-a23c-0a79e810c622" xmlns:ns3="fb2a5e4b-38cb-4474-8ba9-3f89d350045e" targetNamespace="http://schemas.microsoft.com/office/2006/metadata/properties" ma:root="true" ma:fieldsID="d1930e62fc5d1b7ec222d5d9f6c71c79" ns2:_="" ns3:_="">
    <xsd:import namespace="02d9cbab-ad25-41d0-a23c-0a79e810c622"/>
    <xsd:import namespace="fb2a5e4b-38cb-4474-8ba9-3f89d35004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DataeHor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d9cbab-ad25-41d0-a23c-0a79e810c6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e3cedbe-8a21-4df2-8d14-d0ec247bd32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DataeHora" ma:index="20" nillable="true" ma:displayName="Data e Hora" ma:format="DateTime" ma:internalName="DataeHora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a5e4b-38cb-4474-8ba9-3f89d35004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42efbe3-1372-4d01-be87-8bd61f3e3fc2}" ma:internalName="TaxCatchAll" ma:showField="CatchAllData" ma:web="fb2a5e4b-38cb-4474-8ba9-3f89d35004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3192B-7561-4468-88AB-6B5E7D9950B4}">
  <ds:schemaRefs>
    <ds:schemaRef ds:uri="http://schemas.microsoft.com/office/2006/metadata/properties"/>
    <ds:schemaRef ds:uri="http://schemas.microsoft.com/office/infopath/2007/PartnerControls"/>
    <ds:schemaRef ds:uri="02d9cbab-ad25-41d0-a23c-0a79e810c622"/>
    <ds:schemaRef ds:uri="fb2a5e4b-38cb-4474-8ba9-3f89d350045e"/>
  </ds:schemaRefs>
</ds:datastoreItem>
</file>

<file path=customXml/itemProps2.xml><?xml version="1.0" encoding="utf-8"?>
<ds:datastoreItem xmlns:ds="http://schemas.openxmlformats.org/officeDocument/2006/customXml" ds:itemID="{D6C50C15-B3B8-4DB0-9BAD-7148A2F5E3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CBC8BA-0445-4083-B3BE-FF9C05C101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d9cbab-ad25-41d0-a23c-0a79e810c622"/>
    <ds:schemaRef ds:uri="fb2a5e4b-38cb-4474-8ba9-3f89d35004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Santos</dc:creator>
  <cp:keywords/>
  <dc:description/>
  <cp:lastModifiedBy>Nelson Vitor Ribeiro</cp:lastModifiedBy>
  <cp:revision/>
  <dcterms:created xsi:type="dcterms:W3CDTF">2026-09-01T19:15:42Z</dcterms:created>
  <dcterms:modified xsi:type="dcterms:W3CDTF">2026-09-18T16:35:49Z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0x010100897F34DC23B061478CD0ACB118401441</vt:lpwstr>
  </property>
</Properties>
</file>